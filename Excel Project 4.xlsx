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D:\Professional activities\1 Data Science\MeritShot\Submitted Assignment\"/>
    </mc:Choice>
  </mc:AlternateContent>
  <xr:revisionPtr revIDLastSave="0" documentId="13_ncr:1_{C984865E-BFE6-4306-8C04-77D06AB35B97}" xr6:coauthVersionLast="47" xr6:coauthVersionMax="47" xr10:uidLastSave="{00000000-0000-0000-0000-000000000000}"/>
  <bookViews>
    <workbookView xWindow="-110" yWindow="-110" windowWidth="19420" windowHeight="10300" xr2:uid="{00000000-000D-0000-FFFF-FFFF00000000}"/>
  </bookViews>
  <sheets>
    <sheet name="TaskDetail" sheetId="1" r:id="rId1"/>
    <sheet name="DataSet" sheetId="2" r:id="rId2"/>
    <sheet name="Task1" sheetId="3" r:id="rId3"/>
    <sheet name="Task2" sheetId="5" r:id="rId4"/>
    <sheet name="Task3" sheetId="6" r:id="rId5"/>
    <sheet name="Task4" sheetId="7" r:id="rId6"/>
  </sheets>
  <definedNames>
    <definedName name="Slicer_Product">#N/A</definedName>
    <definedName name="Slicer_Region">#N/A</definedName>
    <definedName name="Slicer_Salespers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4" i="7" l="1"/>
  <c r="D55" i="7"/>
  <c r="D54" i="7"/>
  <c r="D53" i="7"/>
  <c r="D52" i="7"/>
  <c r="D51" i="7"/>
  <c r="D50" i="7"/>
  <c r="D49" i="7"/>
  <c r="D48" i="7"/>
  <c r="D47" i="7"/>
  <c r="D46" i="7"/>
  <c r="D45" i="7"/>
  <c r="C22" i="7"/>
  <c r="C23" i="7"/>
  <c r="C24" i="7"/>
  <c r="C25" i="7"/>
  <c r="C26" i="7"/>
  <c r="H5" i="6"/>
  <c r="H4" i="6"/>
  <c r="H3" i="6"/>
  <c r="H2" i="6"/>
  <c r="D22" i="7" l="1"/>
  <c r="E22" i="7"/>
  <c r="E23" i="7"/>
  <c r="D23" i="7"/>
  <c r="D24" i="7"/>
  <c r="E24" i="7"/>
  <c r="D25" i="7"/>
  <c r="E25" i="7"/>
  <c r="D26" i="7"/>
  <c r="E26" i="7"/>
</calcChain>
</file>

<file path=xl/sharedStrings.xml><?xml version="1.0" encoding="utf-8"?>
<sst xmlns="http://schemas.openxmlformats.org/spreadsheetml/2006/main" count="175" uniqueCount="85">
  <si>
    <t>The objective of this assignment is to demonstrate proficiency in advanced Excel topics including creating charts, building dashboards, conducting regression analysis, and forecasting using a provided dataset</t>
  </si>
  <si>
    <t>Date</t>
  </si>
  <si>
    <t>Salesperson</t>
  </si>
  <si>
    <t>Region</t>
  </si>
  <si>
    <t>Product</t>
  </si>
  <si>
    <t>Units Sold</t>
  </si>
  <si>
    <t>Revenue</t>
  </si>
  <si>
    <t>John</t>
  </si>
  <si>
    <t>North</t>
  </si>
  <si>
    <t>Product A</t>
  </si>
  <si>
    <t>Alice</t>
  </si>
  <si>
    <t>South</t>
  </si>
  <si>
    <t>Product B</t>
  </si>
  <si>
    <t>West</t>
  </si>
  <si>
    <t>Bob</t>
  </si>
  <si>
    <t>East</t>
  </si>
  <si>
    <t>Product C</t>
  </si>
  <si>
    <t>Task 1: Data Analysis and Visualization</t>
  </si>
  <si>
    <t>`</t>
  </si>
  <si>
    <r>
      <t xml:space="preserve">      </t>
    </r>
    <r>
      <rPr>
        <sz val="12"/>
        <color theme="1"/>
        <rFont val="Century"/>
        <family val="1"/>
      </rPr>
      <t>Import the dataset into Excel.</t>
    </r>
  </si>
  <si>
    <r>
      <t xml:space="preserve">      </t>
    </r>
    <r>
      <rPr>
        <sz val="12"/>
        <color theme="1"/>
        <rFont val="Century"/>
        <family val="1"/>
      </rPr>
      <t>Use PivotTables to analyze the total revenue generated by each salesperson and product.</t>
    </r>
  </si>
  <si>
    <r>
      <t xml:space="preserve">      </t>
    </r>
    <r>
      <rPr>
        <sz val="12"/>
        <color theme="1"/>
        <rFont val="Century"/>
        <family val="1"/>
      </rPr>
      <t>Create a PivotChart to visualize the total revenue by region.</t>
    </r>
  </si>
  <si>
    <r>
      <t xml:space="preserve">      </t>
    </r>
    <r>
      <rPr>
        <sz val="12"/>
        <color theme="1"/>
        <rFont val="Century"/>
        <family val="1"/>
      </rPr>
      <t>Generate a line chart to show the trend of revenue over time.</t>
    </r>
  </si>
  <si>
    <t>Task 2: Building Dashboards</t>
  </si>
  <si>
    <t>Task 3: Regression Analysis</t>
  </si>
  <si>
    <t>Task 4: Forecasting</t>
  </si>
  <si>
    <r>
      <t xml:space="preserve">      </t>
    </r>
    <r>
      <rPr>
        <sz val="12"/>
        <color theme="1"/>
        <rFont val="Century"/>
        <family val="1"/>
      </rPr>
      <t>Design a dashboard that includes the PivotChart created in Task 1, along with the line chart showing revenue trends.</t>
    </r>
  </si>
  <si>
    <r>
      <t xml:space="preserve">      </t>
    </r>
    <r>
      <rPr>
        <sz val="12"/>
        <color theme="1"/>
        <rFont val="Century"/>
        <family val="1"/>
      </rPr>
      <t>Add slicers or filters to the dashboard to allow users to interactively explore the data by region, salesperson, or product.</t>
    </r>
  </si>
  <si>
    <r>
      <t xml:space="preserve">      </t>
    </r>
    <r>
      <rPr>
        <sz val="12"/>
        <color theme="1"/>
        <rFont val="Century"/>
        <family val="1"/>
      </rPr>
      <t>Use the data to perform a regression analysis to determine the relationship between units sold and revenue.</t>
    </r>
  </si>
  <si>
    <r>
      <t xml:space="preserve">      </t>
    </r>
    <r>
      <rPr>
        <sz val="12"/>
        <color theme="1"/>
        <rFont val="Century"/>
        <family val="1"/>
      </rPr>
      <t>Interpret the regression results and provide insights into how changes in units sold impact revenue.</t>
    </r>
  </si>
  <si>
    <r>
      <t xml:space="preserve">      </t>
    </r>
    <r>
      <rPr>
        <sz val="12"/>
        <color theme="1"/>
        <rFont val="Century"/>
        <family val="1"/>
      </rPr>
      <t>Utilize Excel's forecasting tools to forecast future revenue based on historical data.</t>
    </r>
  </si>
  <si>
    <r>
      <t xml:space="preserve">      </t>
    </r>
    <r>
      <rPr>
        <sz val="12"/>
        <color theme="1"/>
        <rFont val="Century"/>
        <family val="1"/>
      </rPr>
      <t>Choose an appropriate forecasting method and explain your reasoning.</t>
    </r>
  </si>
  <si>
    <r>
      <t xml:space="preserve">      </t>
    </r>
    <r>
      <rPr>
        <sz val="12"/>
        <color theme="1"/>
        <rFont val="Century"/>
        <family val="1"/>
      </rPr>
      <t>Generate a line chart to visualize the forecasted revenue alongside the actual revenue data.</t>
    </r>
  </si>
  <si>
    <t>Row Labels</t>
  </si>
  <si>
    <t>Grand Total</t>
  </si>
  <si>
    <t>Sum of Revenue</t>
  </si>
  <si>
    <t>DASHBOARD</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</si>
  <si>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</si>
  <si>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</si>
  <si>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</si>
  <si>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</si>
  <si>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</si>
  <si>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</si>
  <si>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</si>
  <si>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</si>
  <si>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</si>
  <si>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</si>
  <si>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</si>
  <si>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</si>
  <si>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</si>
  <si>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</si>
  <si>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</si>
  <si>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</si>
  <si>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</si>
  <si>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</si>
  <si>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</si>
  <si>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</si>
  <si>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</si>
  <si>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</si>
  <si>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</si>
  <si>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</si>
  <si>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SLOPE</t>
  </si>
  <si>
    <t>INTERCEPT</t>
  </si>
  <si>
    <t>RSQ</t>
  </si>
  <si>
    <t>CORREL</t>
  </si>
  <si>
    <t>Conclusion</t>
  </si>
  <si>
    <t>The regression analysis indicates a positive relationship between units sold and revenue. On average, each additional unit sold is associated with an estimated revenue increase of approximately $35.02. However, the R-squared value of 0.1746 indicates that units sold alone explains only 17.46% of revenue variation. The p-value of 0.1765 is greater than 0.05, so the relationship is not statistically significant at the 5% level for this dataset.</t>
  </si>
  <si>
    <t>Interpretation of Regression Results:</t>
  </si>
  <si>
    <t>The regression analysis shows a positive relationship between units sold and revenue. The regression coefficient of 35.02 indicates that, on average, revenue increases by approximately $35.02 for each additional unit sold.</t>
  </si>
  <si>
    <t>The R-squared value of 0.1746 (17.46%) indicates that units sold explains only 17.46% of the variation in revenue. Other factors, such as product pricing, discounts, and product mix, may also affect revenue.</t>
  </si>
  <si>
    <t>However, the p-value of 0.1765 is greater than 0.05, indicating that the relationship is not statistically significant at the 5% significance level.</t>
  </si>
  <si>
    <t>Conclusion: Increasing units sold may help increase revenue, but the current data does not provide sufficient statistical evidence of a reliable relationship. Further analysis of pricing, discounts, and product categories is recommended to better understand revenue performance.</t>
  </si>
  <si>
    <t>Forecast(Revenue)</t>
  </si>
  <si>
    <t>Lower Confidence Bound(Revenue)</t>
  </si>
  <si>
    <t>Upper Confidence Bound(Revenue)</t>
  </si>
  <si>
    <t>Forecasting Method: Linear Regression</t>
  </si>
  <si>
    <t>Linear regression is an appropriate forecasting method for estimating revenue based on units sold because it measures the relationship between these two variables and predicts revenue for different sales volumes.</t>
  </si>
  <si>
    <t>Reasoning:</t>
  </si>
  <si>
    <t>1. Relationship analysis: The regression equation, Revenue = 403.03 + 35.02 × Units Sold, estimates how revenue changes with units sold.</t>
  </si>
  <si>
    <t>2. Revenue prediction: The equation can be used to estimate expected revenue for a given number of units sold.</t>
  </si>
  <si>
    <t>3. Limitations: The R-squared value of 17.46% indicates that units sold explains only a small portion of revenue variation. The p-value of 0.1765 also indicates that the relationship is not statistically significant at the 5% level.</t>
  </si>
  <si>
    <t>Conclusion: Linear regression can be used as a preliminary forecasting method, but its predictions should be treated with caution. Including other variables, such as selling price, discounts, and product category, or using time-series forecasting if historical data is available by date, may improve forecast accuracy.</t>
  </si>
  <si>
    <t>Actual Revenue</t>
  </si>
  <si>
    <t>Forecasted Revenue</t>
  </si>
  <si>
    <t>\[ Y = 403.03 + 35.02X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</si>
</sst>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yyyy\-mm\-dd"/>
    <numFmt numFmtId="165" formatCode="&quot;$&quot;#,##0.00"/>
    <numFmt numFmtId="166" formatCode="&quot;$&quot;#,##0"/>
    <numFmt numFmtId="167" formatCode="&quot;₹&quot;\ #,##0"/>
  </numFmts>
  <fonts count="13">
    <font>
      <sz val="11"/>
      <color theme="1"/>
      <name val="Calibri"/>
      <family val="2"/>
      <scheme val="minor"/>
    </font>
    <font>
      <b/>
      <sz val="11"/>
      <color theme="1"/>
      <name val="Calibri"/>
      <family val="2"/>
      <scheme val="minor"/>
    </font>
    <font>
      <b/>
      <sz val="10"/>
      <color rgb="FF0D0D0D"/>
      <name val="Söhne"/>
    </font>
    <font>
      <sz val="10"/>
      <color rgb="FF0D0D0D"/>
      <name val="Söhne"/>
    </font>
    <font>
      <sz val="10"/>
      <color rgb="FF000000"/>
      <name val="Times New Roman"/>
      <charset val="204"/>
    </font>
    <font>
      <sz val="9"/>
      <color theme="1"/>
      <name val="Calibri"/>
      <family val="2"/>
      <scheme val="minor"/>
    </font>
    <font>
      <sz val="12"/>
      <color theme="1"/>
      <name val="Calibri"/>
      <family val="2"/>
      <scheme val="minor"/>
    </font>
    <font>
      <b/>
      <sz val="12"/>
      <color theme="1"/>
      <name val="Cambria"/>
      <family val="1"/>
    </font>
    <font>
      <sz val="12"/>
      <color theme="1"/>
      <name val="Times New Roman"/>
      <family val="1"/>
    </font>
    <font>
      <sz val="12"/>
      <color theme="1"/>
      <name val="Century"/>
      <family val="1"/>
    </font>
    <font>
      <b/>
      <sz val="12"/>
      <color theme="1"/>
      <name val="Calibri"/>
      <family val="2"/>
      <scheme val="minor"/>
    </font>
    <font>
      <b/>
      <sz val="24"/>
      <color theme="1"/>
      <name val="Calibri"/>
      <family val="2"/>
      <scheme val="minor"/>
    </font>
    <font>
      <i/>
      <sz val="11"/>
      <color theme="1"/>
      <name val="Calibri"/>
      <family val="2"/>
      <scheme val="minor"/>
    </font>
  </fonts>
  <fills count="6">
    <fill>
      <patternFill patternType="none"/>
    </fill>
    <fill>
      <patternFill patternType="gray125"/>
    </fill>
    <fill>
      <patternFill patternType="solid">
        <fgColor rgb="FF00FFFF"/>
        <bgColor rgb="FF00FFFF"/>
      </patternFill>
    </fill>
    <fill>
      <patternFill patternType="solid">
        <fgColor rgb="FFFFFFFF"/>
        <bgColor rgb="FFFFFFFF"/>
      </patternFill>
    </fill>
    <fill>
      <patternFill patternType="solid">
        <fgColor theme="4" tint="0.79998168889431442"/>
        <bgColor theme="4" tint="0.79998168889431442"/>
      </patternFill>
    </fill>
    <fill>
      <patternFill patternType="solid">
        <fgColor rgb="FF00B0F0"/>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top/>
      <bottom style="thin">
        <color theme="4" tint="0.39997558519241921"/>
      </bottom>
      <diagonal/>
    </border>
    <border>
      <left/>
      <right/>
      <top/>
      <bottom style="medium">
        <color indexed="64"/>
      </bottom>
      <diagonal/>
    </border>
    <border>
      <left/>
      <right/>
      <top style="medium">
        <color indexed="64"/>
      </top>
      <bottom style="thin">
        <color indexed="64"/>
      </bottom>
      <diagonal/>
    </border>
  </borders>
  <cellStyleXfs count="2">
    <xf numFmtId="0" fontId="0" fillId="0" borderId="0"/>
    <xf numFmtId="0" fontId="4" fillId="0" borderId="0"/>
  </cellStyleXfs>
  <cellXfs count="29">
    <xf numFmtId="0" fontId="0" fillId="0" borderId="0" xfId="0"/>
    <xf numFmtId="0" fontId="2" fillId="2" borderId="1" xfId="0" applyFont="1" applyFill="1" applyBorder="1" applyAlignment="1">
      <alignment horizontal="center"/>
    </xf>
    <xf numFmtId="164" fontId="3" fillId="3" borderId="1" xfId="0" applyNumberFormat="1" applyFont="1" applyFill="1" applyBorder="1" applyAlignment="1">
      <alignment horizontal="left"/>
    </xf>
    <xf numFmtId="0" fontId="3" fillId="3" borderId="1" xfId="0" applyFont="1" applyFill="1" applyBorder="1" applyAlignment="1">
      <alignment horizontal="left"/>
    </xf>
    <xf numFmtId="165" fontId="3" fillId="3" borderId="1" xfId="0" applyNumberFormat="1" applyFont="1" applyFill="1" applyBorder="1" applyAlignment="1">
      <alignment horizontal="left"/>
    </xf>
    <xf numFmtId="0" fontId="7" fillId="0" borderId="0" xfId="0" applyFont="1" applyAlignment="1">
      <alignment vertical="center"/>
    </xf>
    <xf numFmtId="0" fontId="6" fillId="0" borderId="0" xfId="0" applyFont="1"/>
    <xf numFmtId="0" fontId="9" fillId="0" borderId="0" xfId="0" applyFont="1" applyAlignment="1">
      <alignment vertical="center"/>
    </xf>
    <xf numFmtId="0" fontId="5" fillId="0" borderId="0" xfId="0" applyFont="1"/>
    <xf numFmtId="0" fontId="10" fillId="0" borderId="0" xfId="0" applyFont="1"/>
    <xf numFmtId="0" fontId="8" fillId="0" borderId="0" xfId="0" applyFont="1" applyAlignment="1">
      <alignment vertical="center"/>
    </xf>
    <xf numFmtId="0" fontId="0" fillId="0" borderId="0" xfId="0" applyAlignment="1">
      <alignment horizontal="left"/>
    </xf>
    <xf numFmtId="0" fontId="0" fillId="0" borderId="0" xfId="0" pivotButton="1"/>
    <xf numFmtId="165" fontId="0" fillId="0" borderId="0" xfId="0" applyNumberFormat="1"/>
    <xf numFmtId="0" fontId="1" fillId="4" borderId="2" xfId="0" applyFont="1" applyFill="1" applyBorder="1"/>
    <xf numFmtId="0" fontId="0" fillId="0" borderId="0" xfId="0" applyAlignment="1">
      <alignment horizontal="left" indent="1"/>
    </xf>
    <xf numFmtId="164" fontId="0" fillId="0" borderId="0" xfId="0" applyNumberFormat="1" applyAlignment="1">
      <alignment horizontal="left"/>
    </xf>
    <xf numFmtId="0" fontId="0" fillId="5" borderId="0" xfId="0" applyFill="1"/>
    <xf numFmtId="164" fontId="0" fillId="0" borderId="0" xfId="0" applyNumberFormat="1"/>
    <xf numFmtId="166" fontId="0" fillId="0" borderId="0" xfId="0" applyNumberFormat="1"/>
    <xf numFmtId="0" fontId="0" fillId="0" borderId="3" xfId="0" applyBorder="1"/>
    <xf numFmtId="0" fontId="12" fillId="0" borderId="4" xfId="0" applyFont="1" applyBorder="1" applyAlignment="1">
      <alignment horizontal="center"/>
    </xf>
    <xf numFmtId="0" fontId="12" fillId="0" borderId="4" xfId="0" applyFont="1" applyBorder="1" applyAlignment="1">
      <alignment horizontal="centerContinuous"/>
    </xf>
    <xf numFmtId="0" fontId="12" fillId="0" borderId="0" xfId="0" applyFont="1" applyAlignment="1">
      <alignment horizontal="centerContinuous"/>
    </xf>
    <xf numFmtId="0" fontId="1" fillId="0" borderId="0" xfId="0" applyFont="1" applyAlignment="1">
      <alignment vertical="top"/>
    </xf>
    <xf numFmtId="0" fontId="0" fillId="0" borderId="0" xfId="0" applyAlignment="1">
      <alignment horizontal="center" vertical="center" wrapText="1"/>
    </xf>
    <xf numFmtId="167" fontId="0" fillId="0" borderId="0" xfId="0" applyNumberFormat="1"/>
    <xf numFmtId="0" fontId="0" fillId="0" borderId="0" xfId="0" applyAlignment="1">
      <alignment horizontal="left" wrapText="1"/>
    </xf>
    <xf numFmtId="0" fontId="11" fillId="5" borderId="0" xfId="0" applyFont="1" applyFill="1" applyAlignment="1">
      <alignment horizontal="center" vertical="center"/>
    </xf>
  </cellXfs>
  <cellStyles count="2">
    <cellStyle name="Normal" xfId="0" builtinId="0"/>
    <cellStyle name="Normal 2" xfId="1" xr:uid="{D4E2D77C-5BC0-4B6C-B824-1918C760CEA3}"/>
  </cellStyles>
  <dxfs count="9">
    <dxf>
      <numFmt numFmtId="166" formatCode="&quot;$&quot;#,##0"/>
    </dxf>
    <dxf>
      <numFmt numFmtId="166" formatCode="&quot;$&quot;#,##0"/>
    </dxf>
    <dxf>
      <numFmt numFmtId="166" formatCode="&quot;$&quot;#,##0"/>
    </dxf>
    <dxf>
      <numFmt numFmtId="166" formatCode="&quot;$&quot;#,##0"/>
    </dxf>
    <dxf>
      <numFmt numFmtId="165" formatCode="&quot;$&quot;#,##0.00"/>
    </dxf>
    <dxf>
      <numFmt numFmtId="165" formatCode="&quot;$&quot;#,##0.00"/>
    </dxf>
    <dxf>
      <numFmt numFmtId="165" formatCode="&quot;$&quot;#,##0.00"/>
    </dxf>
    <dxf>
      <numFmt numFmtId="164" formatCode="yyyy\-mm\-dd"/>
    </dxf>
    <dxf>
      <alignment horizontal="center" vertical="center" textRotation="0" wrapText="1" indent="0" justifyLastLine="0" shrinkToFit="0" readingOrder="0"/>
    </dxf>
  </dxfs>
  <tableStyles count="1" defaultTableStyle="TableStyleMedium2" defaultPivotStyle="PivotStyleLight16">
    <tableStyle name="Invisible" pivot="0" table="0" count="0" xr9:uid="{D11D4F09-8EB4-4A42-84F2-3DEDCB9BD2F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[Meritshot Excel Assignment_4.xlsx]Task1!PivotTable4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Revenue by Region</a:t>
            </a:r>
          </a:p>
        </c:rich>
      </c:tx>
      <c:layout>
        <c:manualLayout>
          <c:xMode val="edge"/>
          <c:yMode val="edge"/>
          <c:x val="0.19408560311284045"/>
          <c:y val="3.511811023622047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1"/>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Task1!$H$3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2FF-42F3-A7E7-B2974A7EDEA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2FF-42F3-A7E7-B2974A7EDEA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2FF-42F3-A7E7-B2974A7EDEA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2FF-42F3-A7E7-B2974A7EDEA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1"/>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Task1!$G$4:$G$8</c:f>
              <c:strCache>
                <c:ptCount val="4"/>
                <c:pt idx="0">
                  <c:v>East</c:v>
                </c:pt>
                <c:pt idx="1">
                  <c:v>North</c:v>
                </c:pt>
                <c:pt idx="2">
                  <c:v>South</c:v>
                </c:pt>
                <c:pt idx="3">
                  <c:v>West</c:v>
                </c:pt>
              </c:strCache>
            </c:strRef>
          </c:cat>
          <c:val>
            <c:numRef>
              <c:f>Task1!$H$4:$H$8</c:f>
              <c:numCache>
                <c:formatCode>"$"#,##0</c:formatCode>
                <c:ptCount val="4"/>
                <c:pt idx="0">
                  <c:v>5750</c:v>
                </c:pt>
                <c:pt idx="1">
                  <c:v>8000</c:v>
                </c:pt>
                <c:pt idx="2">
                  <c:v>6450</c:v>
                </c:pt>
                <c:pt idx="3">
                  <c:v>5300</c:v>
                </c:pt>
              </c:numCache>
            </c:numRef>
          </c:val>
          <c:extLst>
            <c:ext xmlns:c16="http://schemas.microsoft.com/office/drawing/2014/chart" uri="{C3380CC4-5D6E-409C-BE32-E72D297353CC}">
              <c16:uniqueId val="{00000000-0C63-4ECF-9402-45FCC4CBD78B}"/>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[Meritshot Excel Assignment_4.xlsx]Task1!PivotTable5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50800" dir="5400000" algn="ctr" rotWithShape="0">
                    <a:schemeClr val="bg1"/>
                  </a:outerShdw>
                </a:effectLst>
                <a:latin typeface="+mn-lt"/>
                <a:ea typeface="+mn-ea"/>
                <a:cs typeface="+mn-cs"/>
              </a:defRPr>
            </a:pPr>
            <a:r>
              <a:rPr lang="en-US"/>
              <a:t>Revenue over Time</a:t>
            </a:r>
          </a:p>
        </c:rich>
      </c:tx>
      <c:layout>
        <c:manualLayout>
          <c:xMode val="edge"/>
          <c:yMode val="edge"/>
          <c:x val="0.31038074924567083"/>
          <c:y val="3.7532866346867914E-2"/>
        </c:manualLayout>
      </c:layout>
      <c:overlay val="0"/>
      <c:spPr>
        <a:solidFill>
          <a:schemeClr val="tx1"/>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50800" dir="5400000" algn="ctr" rotWithShape="0">
                  <a:schemeClr val="bg1"/>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effectLst>
                    <a:outerShdw blurRad="50800" dist="50800" dir="5400000" algn="ctr" rotWithShape="0">
                      <a:schemeClr val="bg1"/>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2.0189274447949435E-2"/>
              <c:y val="-0.11856474258970359"/>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effectLst>
                    <a:outerShdw blurRad="50800" dist="50800" dir="5400000" algn="ctr" rotWithShape="0">
                      <a:schemeClr val="bg1"/>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7854889589905273E-2"/>
              <c:y val="-0.13104524180967239"/>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effectLst>
                    <a:outerShdw blurRad="50800" dist="50800" dir="5400000" algn="ctr" rotWithShape="0">
                      <a:schemeClr val="bg1"/>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4.2902208201892743E-2"/>
              <c:y val="-0.13104524180967236"/>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effectLst>
                    <a:outerShdw blurRad="50800" dist="50800" dir="5400000" algn="ctr" rotWithShape="0">
                      <a:schemeClr val="bg1"/>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0473186119875668E-3"/>
              <c:y val="-9.3603744149765994E-2"/>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effectLst>
                    <a:outerShdw blurRad="50800" dist="50800" dir="5400000" algn="ctr" rotWithShape="0">
                      <a:schemeClr val="bg1"/>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5520504731861202E-2"/>
              <c:y val="-4.6801872074883025E-2"/>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effectLst>
                    <a:outerShdw blurRad="50800" dist="50800" dir="5400000" algn="ctr" rotWithShape="0">
                      <a:schemeClr val="bg1"/>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0.13123028391167194"/>
              <c:y val="-5.3042121684867397E-2"/>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effectLst>
                    <a:outerShdw blurRad="50800" dist="50800" dir="5400000" algn="ctr" rotWithShape="0">
                      <a:schemeClr val="bg1"/>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0.17665615141955837"/>
              <c:y val="6.2402496099843933E-2"/>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effectLst>
                    <a:outerShdw blurRad="50800" dist="50800" dir="5400000" algn="ctr" rotWithShape="0">
                      <a:schemeClr val="bg1"/>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2.523659305993691E-3"/>
              <c:y val="-0.13416536661466458"/>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effectLst>
                    <a:outerShdw blurRad="50800" dist="50800" dir="5400000" algn="ctr" rotWithShape="0">
                      <a:schemeClr val="bg1"/>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4.2902208201892743E-2"/>
              <c:y val="-8.7363494539781594E-2"/>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effectLst>
                    <a:outerShdw blurRad="50800" dist="50800" dir="5400000" algn="ctr" rotWithShape="0">
                      <a:schemeClr val="bg1"/>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2.5236593059936908E-2"/>
              <c:y val="-0.12480499219968802"/>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effectLst>
                    <a:outerShdw blurRad="50800" dist="50800" dir="5400000" algn="ctr" rotWithShape="0">
                      <a:schemeClr val="bg1"/>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2.523659305993691E-3"/>
              <c:y val="8.7363494539781539E-2"/>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effectLst>
                    <a:outerShdw blurRad="50800" dist="50800" dir="5400000" algn="ctr" rotWithShape="0">
                      <a:schemeClr val="bg1"/>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2.5236593059936908E-2"/>
              <c:y val="6.2402496099843933E-2"/>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effectLst>
                    <a:outerShdw blurRad="50800" dist="50800" dir="5400000" algn="ctr" rotWithShape="0">
                      <a:schemeClr val="bg1"/>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8.0757097791798113E-2"/>
              <c:y val="-9.9843993759750393E-2"/>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effectLst>
                    <a:outerShdw blurRad="50800" dist="50800" dir="5400000" algn="ctr" rotWithShape="0">
                      <a:schemeClr val="bg1"/>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8.0757097791798127E-2"/>
              <c:y val="-0.13416536661466461"/>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effectLst>
                    <a:outerShdw blurRad="50800" dist="50800" dir="5400000" algn="ctr" rotWithShape="0">
                      <a:schemeClr val="bg1"/>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5331230283911698E-2"/>
              <c:y val="6.5522620904836085E-2"/>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effectLst>
                    <a:outerShdw blurRad="50800" dist="50800" dir="5400000" algn="ctr" rotWithShape="0">
                      <a:schemeClr val="bg1"/>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7.8233438485804441E-2"/>
              <c:y val="-7.4882995319812851E-2"/>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effectLst>
                    <a:outerShdw blurRad="50800" dist="50800" dir="5400000" algn="ctr" rotWithShape="0">
                      <a:schemeClr val="bg1"/>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8044164037854888E-2"/>
              <c:y val="-0.12168486739469579"/>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effectLst>
                    <a:outerShdw blurRad="50800" dist="50800" dir="5400000" algn="ctr" rotWithShape="0">
                      <a:schemeClr val="bg1"/>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6.0567823343848533E-2"/>
              <c:y val="-0.1466458658346334"/>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effectLst>
                    <a:outerShdw blurRad="50800" dist="50800" dir="5400000" algn="ctr" rotWithShape="0">
                      <a:schemeClr val="bg1"/>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9.2533105602769917E-17"/>
              <c:y val="4.0561622464898542E-2"/>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effectLst>
                    <a:outerShdw blurRad="50800" dist="50800" dir="5400000" algn="ctr" rotWithShape="0">
                      <a:schemeClr val="bg1"/>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6.5615141955835968E-2"/>
              <c:y val="4.9921996879875197E-2"/>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effectLst>
                    <a:outerShdw blurRad="50800" dist="50800" dir="5400000" algn="ctr" rotWithShape="0">
                      <a:schemeClr val="bg1"/>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lineChart>
        <c:grouping val="standard"/>
        <c:varyColors val="0"/>
        <c:ser>
          <c:idx val="0"/>
          <c:order val="0"/>
          <c:tx>
            <c:strRef>
              <c:f>Task1!$B$16</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Pt>
            <c:idx val="0"/>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11-8031-4089-AF56-1C01DF62C146}"/>
              </c:ext>
            </c:extLst>
          </c:dPt>
          <c:dPt>
            <c:idx val="1"/>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10-8031-4089-AF56-1C01DF62C146}"/>
              </c:ext>
            </c:extLst>
          </c:dPt>
          <c:dPt>
            <c:idx val="2"/>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F-8031-4089-AF56-1C01DF62C146}"/>
              </c:ext>
            </c:extLst>
          </c:dPt>
          <c:dPt>
            <c:idx val="3"/>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12-8031-4089-AF56-1C01DF62C146}"/>
              </c:ext>
            </c:extLst>
          </c:dPt>
          <c:dPt>
            <c:idx val="4"/>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13-8031-4089-AF56-1C01DF62C146}"/>
              </c:ext>
            </c:extLst>
          </c:dPt>
          <c:dPt>
            <c:idx val="5"/>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14-8031-4089-AF56-1C01DF62C146}"/>
              </c:ext>
            </c:extLst>
          </c:dPt>
          <c:dPt>
            <c:idx val="6"/>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15-8031-4089-AF56-1C01DF62C146}"/>
              </c:ext>
            </c:extLst>
          </c:dPt>
          <c:dPt>
            <c:idx val="7"/>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16-8031-4089-AF56-1C01DF62C146}"/>
              </c:ext>
            </c:extLst>
          </c:dPt>
          <c:dPt>
            <c:idx val="8"/>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C-8031-4089-AF56-1C01DF62C146}"/>
              </c:ext>
            </c:extLst>
          </c:dPt>
          <c:dPt>
            <c:idx val="9"/>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D-8031-4089-AF56-1C01DF62C146}"/>
              </c:ext>
            </c:extLst>
          </c:dPt>
          <c:dPt>
            <c:idx val="10"/>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B-8031-4089-AF56-1C01DF62C146}"/>
              </c:ext>
            </c:extLst>
          </c:dPt>
          <c:dPt>
            <c:idx val="11"/>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4-8031-4089-AF56-1C01DF62C146}"/>
              </c:ext>
            </c:extLst>
          </c:dPt>
          <c:dPt>
            <c:idx val="12"/>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E-8031-4089-AF56-1C01DF62C146}"/>
              </c:ext>
            </c:extLst>
          </c:dPt>
          <c:dPt>
            <c:idx val="13"/>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A-8031-4089-AF56-1C01DF62C146}"/>
              </c:ext>
            </c:extLst>
          </c:dPt>
          <c:dPt>
            <c:idx val="14"/>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9-8031-4089-AF56-1C01DF62C146}"/>
              </c:ext>
            </c:extLst>
          </c:dPt>
          <c:dPt>
            <c:idx val="15"/>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3-8031-4089-AF56-1C01DF62C146}"/>
              </c:ext>
            </c:extLst>
          </c:dPt>
          <c:dPt>
            <c:idx val="16"/>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8-8031-4089-AF56-1C01DF62C146}"/>
              </c:ext>
            </c:extLst>
          </c:dPt>
          <c:dPt>
            <c:idx val="17"/>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6-8031-4089-AF56-1C01DF62C146}"/>
              </c:ext>
            </c:extLst>
          </c:dPt>
          <c:dPt>
            <c:idx val="18"/>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7-8031-4089-AF56-1C01DF62C146}"/>
              </c:ext>
            </c:extLst>
          </c:dPt>
          <c:dPt>
            <c:idx val="19"/>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5-8031-4089-AF56-1C01DF62C146}"/>
              </c:ext>
            </c:extLst>
          </c:dPt>
          <c:dLbls>
            <c:dLbl>
              <c:idx val="0"/>
              <c:layout>
                <c:manualLayout>
                  <c:x val="-3.5331230283911698E-2"/>
                  <c:y val="6.55226209048360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8031-4089-AF56-1C01DF62C146}"/>
                </c:ext>
              </c:extLst>
            </c:dLbl>
            <c:dLbl>
              <c:idx val="1"/>
              <c:layout>
                <c:manualLayout>
                  <c:x val="-8.0757097791798127E-2"/>
                  <c:y val="-0.134165366614664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8031-4089-AF56-1C01DF62C146}"/>
                </c:ext>
              </c:extLst>
            </c:dLbl>
            <c:dLbl>
              <c:idx val="2"/>
              <c:layout>
                <c:manualLayout>
                  <c:x val="-8.0757097791798113E-2"/>
                  <c:y val="-9.98439937597503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031-4089-AF56-1C01DF62C146}"/>
                </c:ext>
              </c:extLst>
            </c:dLbl>
            <c:dLbl>
              <c:idx val="3"/>
              <c:layout>
                <c:manualLayout>
                  <c:x val="-7.8233438485804441E-2"/>
                  <c:y val="-7.48829953198128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8031-4089-AF56-1C01DF62C146}"/>
                </c:ext>
              </c:extLst>
            </c:dLbl>
            <c:dLbl>
              <c:idx val="4"/>
              <c:layout>
                <c:manualLayout>
                  <c:x val="-5.8044164037854888E-2"/>
                  <c:y val="-0.121684867394695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8031-4089-AF56-1C01DF62C146}"/>
                </c:ext>
              </c:extLst>
            </c:dLbl>
            <c:dLbl>
              <c:idx val="5"/>
              <c:layout>
                <c:manualLayout>
                  <c:x val="-6.0567823343848533E-2"/>
                  <c:y val="-0.14664586583463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8031-4089-AF56-1C01DF62C146}"/>
                </c:ext>
              </c:extLst>
            </c:dLbl>
            <c:dLbl>
              <c:idx val="6"/>
              <c:layout>
                <c:manualLayout>
                  <c:x val="-9.2533105602769917E-17"/>
                  <c:y val="4.05616224648985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8031-4089-AF56-1C01DF62C146}"/>
                </c:ext>
              </c:extLst>
            </c:dLbl>
            <c:dLbl>
              <c:idx val="7"/>
              <c:layout>
                <c:manualLayout>
                  <c:x val="-6.5615141955835968E-2"/>
                  <c:y val="4.99219968798751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8031-4089-AF56-1C01DF62C146}"/>
                </c:ext>
              </c:extLst>
            </c:dLbl>
            <c:dLbl>
              <c:idx val="8"/>
              <c:layout>
                <c:manualLayout>
                  <c:x val="-2.5236593059936908E-2"/>
                  <c:y val="-0.1248049921996880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031-4089-AF56-1C01DF62C146}"/>
                </c:ext>
              </c:extLst>
            </c:dLbl>
            <c:dLbl>
              <c:idx val="9"/>
              <c:layout>
                <c:manualLayout>
                  <c:x val="2.523659305993691E-3"/>
                  <c:y val="8.73634945397815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031-4089-AF56-1C01DF62C146}"/>
                </c:ext>
              </c:extLst>
            </c:dLbl>
            <c:dLbl>
              <c:idx val="10"/>
              <c:layout>
                <c:manualLayout>
                  <c:x val="-4.2902208201892743E-2"/>
                  <c:y val="-8.73634945397815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031-4089-AF56-1C01DF62C146}"/>
                </c:ext>
              </c:extLst>
            </c:dLbl>
            <c:dLbl>
              <c:idx val="11"/>
              <c:layout>
                <c:manualLayout>
                  <c:x val="3.7854889589905273E-2"/>
                  <c:y val="-0.1310452418096723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031-4089-AF56-1C01DF62C146}"/>
                </c:ext>
              </c:extLst>
            </c:dLbl>
            <c:dLbl>
              <c:idx val="12"/>
              <c:layout>
                <c:manualLayout>
                  <c:x val="2.5236593059936908E-2"/>
                  <c:y val="6.24024960998439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031-4089-AF56-1C01DF62C146}"/>
                </c:ext>
              </c:extLst>
            </c:dLbl>
            <c:dLbl>
              <c:idx val="13"/>
              <c:layout>
                <c:manualLayout>
                  <c:x val="-2.523659305993691E-3"/>
                  <c:y val="-0.1341653666146645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031-4089-AF56-1C01DF62C146}"/>
                </c:ext>
              </c:extLst>
            </c:dLbl>
            <c:dLbl>
              <c:idx val="14"/>
              <c:layout>
                <c:manualLayout>
                  <c:x val="0.17665615141955837"/>
                  <c:y val="6.24024960998439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031-4089-AF56-1C01DF62C146}"/>
                </c:ext>
              </c:extLst>
            </c:dLbl>
            <c:dLbl>
              <c:idx val="15"/>
              <c:layout>
                <c:manualLayout>
                  <c:x val="2.0189274447949435E-2"/>
                  <c:y val="-0.118564742589703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031-4089-AF56-1C01DF62C146}"/>
                </c:ext>
              </c:extLst>
            </c:dLbl>
            <c:dLbl>
              <c:idx val="16"/>
              <c:layout>
                <c:manualLayout>
                  <c:x val="0.13123028391167194"/>
                  <c:y val="-5.30421216848673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031-4089-AF56-1C01DF62C146}"/>
                </c:ext>
              </c:extLst>
            </c:dLbl>
            <c:dLbl>
              <c:idx val="17"/>
              <c:layout>
                <c:manualLayout>
                  <c:x val="-5.0473186119875668E-3"/>
                  <c:y val="-9.36037441497659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031-4089-AF56-1C01DF62C146}"/>
                </c:ext>
              </c:extLst>
            </c:dLbl>
            <c:dLbl>
              <c:idx val="18"/>
              <c:layout>
                <c:manualLayout>
                  <c:x val="5.5520504731861202E-2"/>
                  <c:y val="-4.68018720748830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031-4089-AF56-1C01DF62C146}"/>
                </c:ext>
              </c:extLst>
            </c:dLbl>
            <c:dLbl>
              <c:idx val="19"/>
              <c:layout>
                <c:manualLayout>
                  <c:x val="4.2902208201892743E-2"/>
                  <c:y val="-0.131045241809672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031-4089-AF56-1C01DF62C146}"/>
                </c:ext>
              </c:extLst>
            </c:dLbl>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effectLst>
                      <a:outerShdw blurRad="50800" dist="50800" dir="5400000" algn="ctr" rotWithShape="0">
                        <a:schemeClr val="bg1"/>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Task1!$A$17:$A$37</c:f>
              <c:strCache>
                <c:ptCount val="20"/>
                <c:pt idx="0">
                  <c:v>2022-01-01</c:v>
                </c:pt>
                <c:pt idx="1">
                  <c:v>2022-01-02</c:v>
                </c:pt>
                <c:pt idx="2">
                  <c:v>2022-01-03</c:v>
                </c:pt>
                <c:pt idx="3">
                  <c:v>2022-01-04</c:v>
                </c:pt>
                <c:pt idx="4">
                  <c:v>2022-01-05</c:v>
                </c:pt>
                <c:pt idx="5">
                  <c:v>2022-01-06</c:v>
                </c:pt>
                <c:pt idx="6">
                  <c:v>2022-01-07</c:v>
                </c:pt>
                <c:pt idx="7">
                  <c:v>2022-01-08</c:v>
                </c:pt>
                <c:pt idx="8">
                  <c:v>2022-01-09</c:v>
                </c:pt>
                <c:pt idx="9">
                  <c:v>2022-01-10</c:v>
                </c:pt>
                <c:pt idx="10">
                  <c:v>2022-01-11</c:v>
                </c:pt>
                <c:pt idx="11">
                  <c:v>2022-01-12</c:v>
                </c:pt>
                <c:pt idx="12">
                  <c:v>2022-01-13</c:v>
                </c:pt>
                <c:pt idx="13">
                  <c:v>2022-01-14</c:v>
                </c:pt>
                <c:pt idx="14">
                  <c:v>2022-01-15</c:v>
                </c:pt>
                <c:pt idx="15">
                  <c:v>2022-01-16</c:v>
                </c:pt>
                <c:pt idx="16">
                  <c:v>2022-01-17</c:v>
                </c:pt>
                <c:pt idx="17">
                  <c:v>2022-01-18</c:v>
                </c:pt>
                <c:pt idx="18">
                  <c:v>2022-01-19</c:v>
                </c:pt>
                <c:pt idx="19">
                  <c:v>2022-01-20</c:v>
                </c:pt>
              </c:strCache>
            </c:strRef>
          </c:cat>
          <c:val>
            <c:numRef>
              <c:f>Task1!$B$17:$B$37</c:f>
              <c:numCache>
                <c:formatCode>"$"#,##0</c:formatCode>
                <c:ptCount val="20"/>
                <c:pt idx="0">
                  <c:v>1000</c:v>
                </c:pt>
                <c:pt idx="1">
                  <c:v>1200</c:v>
                </c:pt>
                <c:pt idx="2">
                  <c:v>1500</c:v>
                </c:pt>
                <c:pt idx="3">
                  <c:v>800</c:v>
                </c:pt>
                <c:pt idx="4">
                  <c:v>1100</c:v>
                </c:pt>
                <c:pt idx="5">
                  <c:v>1300</c:v>
                </c:pt>
                <c:pt idx="6">
                  <c:v>900</c:v>
                </c:pt>
                <c:pt idx="7">
                  <c:v>1250</c:v>
                </c:pt>
                <c:pt idx="8">
                  <c:v>1450</c:v>
                </c:pt>
                <c:pt idx="9">
                  <c:v>1150</c:v>
                </c:pt>
                <c:pt idx="10">
                  <c:v>1400</c:v>
                </c:pt>
                <c:pt idx="11">
                  <c:v>1550</c:v>
                </c:pt>
                <c:pt idx="12">
                  <c:v>1200</c:v>
                </c:pt>
                <c:pt idx="13">
                  <c:v>1350</c:v>
                </c:pt>
                <c:pt idx="14">
                  <c:v>1250</c:v>
                </c:pt>
                <c:pt idx="15">
                  <c:v>1600</c:v>
                </c:pt>
                <c:pt idx="16">
                  <c:v>1150</c:v>
                </c:pt>
                <c:pt idx="17">
                  <c:v>1450</c:v>
                </c:pt>
                <c:pt idx="18">
                  <c:v>1400</c:v>
                </c:pt>
                <c:pt idx="19">
                  <c:v>1500</c:v>
                </c:pt>
              </c:numCache>
            </c:numRef>
          </c:val>
          <c:smooth val="0"/>
          <c:extLst>
            <c:ext xmlns:c16="http://schemas.microsoft.com/office/drawing/2014/chart" uri="{C3380CC4-5D6E-409C-BE32-E72D297353CC}">
              <c16:uniqueId val="{00000000-8031-4089-AF56-1C01DF62C146}"/>
            </c:ext>
          </c:extLst>
        </c:ser>
        <c:dLbls>
          <c:showLegendKey val="0"/>
          <c:showVal val="0"/>
          <c:showCatName val="0"/>
          <c:showSerName val="0"/>
          <c:showPercent val="0"/>
          <c:showBubbleSize val="0"/>
        </c:dLbls>
        <c:marker val="1"/>
        <c:smooth val="0"/>
        <c:axId val="1219222240"/>
        <c:axId val="1219223200"/>
      </c:lineChart>
      <c:catAx>
        <c:axId val="121922224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effectLst>
                  <a:outerShdw blurRad="50800" dist="50800" dir="5400000" algn="ctr" rotWithShape="0">
                    <a:schemeClr val="bg1"/>
                  </a:outerShdw>
                </a:effectLst>
                <a:latin typeface="+mn-lt"/>
                <a:ea typeface="+mn-ea"/>
                <a:cs typeface="+mn-cs"/>
              </a:defRPr>
            </a:pPr>
            <a:endParaRPr lang="en-US"/>
          </a:p>
        </c:txPr>
        <c:crossAx val="1219223200"/>
        <c:crosses val="autoZero"/>
        <c:auto val="1"/>
        <c:lblAlgn val="ctr"/>
        <c:lblOffset val="100"/>
        <c:noMultiLvlLbl val="0"/>
      </c:catAx>
      <c:valAx>
        <c:axId val="1219223200"/>
        <c:scaling>
          <c:orientation val="minMax"/>
        </c:scaling>
        <c:delete val="0"/>
        <c:axPos val="l"/>
        <c:majorGridlines>
          <c:spPr>
            <a:ln w="9525" cap="flat" cmpd="sng" algn="ctr">
              <a:solidFill>
                <a:schemeClr val="lt1">
                  <a:lumMod val="95000"/>
                  <a:alpha val="10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effectLst>
                  <a:outerShdw blurRad="50800" dist="50800" dir="5400000" algn="ctr" rotWithShape="0">
                    <a:schemeClr val="bg1"/>
                  </a:outerShdw>
                </a:effectLst>
                <a:latin typeface="+mn-lt"/>
                <a:ea typeface="+mn-ea"/>
                <a:cs typeface="+mn-cs"/>
              </a:defRPr>
            </a:pPr>
            <a:endParaRPr lang="en-US"/>
          </a:p>
        </c:txPr>
        <c:crossAx val="1219222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effectLst>
            <a:outerShdw blurRad="50800" dist="50800" dir="5400000" algn="ctr" rotWithShape="0">
              <a:schemeClr val="bg1"/>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[Meritshot Excel Assignment_4.xlsx]Task1!PivotTable4</c:name>
    <c:fmtId val="1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Revenue by Region</a:t>
            </a:r>
          </a:p>
        </c:rich>
      </c:tx>
      <c:layout>
        <c:manualLayout>
          <c:xMode val="edge"/>
          <c:yMode val="edge"/>
          <c:x val="0.19408560311284045"/>
          <c:y val="3.511811023622047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1"/>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1"/>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1"/>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chemeClr val="accent1"/>
          </a:solidFill>
          <a:ln>
            <a:noFill/>
          </a:ln>
          <a:effectLst>
            <a:outerShdw blurRad="254000" sx="102000" sy="102000" algn="ctr" rotWithShape="0">
              <a:prstClr val="black">
                <a:alpha val="20000"/>
              </a:prstClr>
            </a:outerShdw>
          </a:effectLst>
        </c:spPr>
        <c:dLbl>
          <c:idx val="0"/>
          <c:layout>
            <c:manualLayout>
              <c:x val="-0.13482483657819538"/>
              <c:y val="-4.349663400747039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1"/>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dLbl>
          <c:idx val="0"/>
          <c:layout>
            <c:manualLayout>
              <c:x val="-8.4831807348206053E-3"/>
              <c:y val="-3.4816453627531239E-2"/>
            </c:manualLayout>
          </c:layout>
          <c:numFmt formatCode="0%"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1"/>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s>
    <c:plotArea>
      <c:layout/>
      <c:pieChart>
        <c:varyColors val="1"/>
        <c:ser>
          <c:idx val="0"/>
          <c:order val="0"/>
          <c:tx>
            <c:strRef>
              <c:f>Task1!$H$3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231-4037-ACF5-FE4DDB1DAD8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231-4037-ACF5-FE4DDB1DAD8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231-4037-ACF5-FE4DDB1DAD8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231-4037-ACF5-FE4DDB1DAD8E}"/>
              </c:ext>
            </c:extLst>
          </c:dPt>
          <c:dLbls>
            <c:dLbl>
              <c:idx val="0"/>
              <c:layout>
                <c:manualLayout>
                  <c:x val="-0.13482483657819538"/>
                  <c:y val="-4.3496634007470392E-2"/>
                </c:manualLayout>
              </c:layout>
              <c:dLblPos val="bestFi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231-4037-ACF5-FE4DDB1DAD8E}"/>
                </c:ext>
              </c:extLst>
            </c:dLbl>
            <c:dLbl>
              <c:idx val="3"/>
              <c:layout>
                <c:manualLayout>
                  <c:x val="-8.4831807348206053E-3"/>
                  <c:y val="-3.4816453627531239E-2"/>
                </c:manualLayout>
              </c:layout>
              <c:numFmt formatCode="0%"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1"/>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 xmlns:c16="http://schemas.microsoft.com/office/drawing/2014/chart" uri="{C3380CC4-5D6E-409C-BE32-E72D297353CC}">
                  <c16:uniqueId val="{00000007-2231-4037-ACF5-FE4DDB1DAD8E}"/>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1"/>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Task1!$G$4:$G$8</c:f>
              <c:strCache>
                <c:ptCount val="4"/>
                <c:pt idx="0">
                  <c:v>East</c:v>
                </c:pt>
                <c:pt idx="1">
                  <c:v>North</c:v>
                </c:pt>
                <c:pt idx="2">
                  <c:v>South</c:v>
                </c:pt>
                <c:pt idx="3">
                  <c:v>West</c:v>
                </c:pt>
              </c:strCache>
            </c:strRef>
          </c:cat>
          <c:val>
            <c:numRef>
              <c:f>Task1!$H$4:$H$8</c:f>
              <c:numCache>
                <c:formatCode>"$"#,##0</c:formatCode>
                <c:ptCount val="4"/>
                <c:pt idx="0">
                  <c:v>5750</c:v>
                </c:pt>
                <c:pt idx="1">
                  <c:v>8000</c:v>
                </c:pt>
                <c:pt idx="2">
                  <c:v>6450</c:v>
                </c:pt>
                <c:pt idx="3">
                  <c:v>5300</c:v>
                </c:pt>
              </c:numCache>
            </c:numRef>
          </c:val>
          <c:extLst>
            <c:ext xmlns:c16="http://schemas.microsoft.com/office/drawing/2014/chart" uri="{C3380CC4-5D6E-409C-BE32-E72D297353CC}">
              <c16:uniqueId val="{00000008-2231-4037-ACF5-FE4DDB1DAD8E}"/>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[Meritshot Excel Assignment_4.xlsx]Task1!PivotTable5</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over Time</a:t>
            </a:r>
          </a:p>
        </c:rich>
      </c:tx>
      <c:layout>
        <c:manualLayout>
          <c:xMode val="edge"/>
          <c:yMode val="edge"/>
          <c:x val="0.31038074924567083"/>
          <c:y val="3.753286634686791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2.0189274447949435E-2"/>
              <c:y val="-0.11856474258970359"/>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3.7854889589905273E-2"/>
              <c:y val="-0.13104524180967239"/>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4.2902208201892743E-2"/>
              <c:y val="-0.13104524180967236"/>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5.0473186119875668E-3"/>
              <c:y val="-9.360374414976599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5.5520504731861202E-2"/>
              <c:y val="-4.680187207488302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0.13123028391167194"/>
              <c:y val="-5.3042121684867397E-2"/>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0.17665615141955837"/>
              <c:y val="6.240249609984393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2.523659305993691E-3"/>
              <c:y val="-0.13416536661466458"/>
            </c:manualLayout>
          </c:layout>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4.2902208201892743E-2"/>
              <c:y val="-8.736349453978159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2.5236593059936908E-2"/>
              <c:y val="-0.12480499219968802"/>
            </c:manualLayout>
          </c:layout>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2.523659305993691E-3"/>
              <c:y val="8.7363494539781539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2.5236593059936908E-2"/>
              <c:y val="6.240249609984393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8.0757097791798113E-2"/>
              <c:y val="-9.984399375975039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8.0757097791798127E-2"/>
              <c:y val="-0.13416536661466461"/>
            </c:manualLayout>
          </c:layout>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3.5331230283911698E-2"/>
              <c:y val="6.552262090483608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7.8233438485804441E-2"/>
              <c:y val="-7.4882995319812851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5.8044164037854888E-2"/>
              <c:y val="-0.12168486739469579"/>
            </c:manualLayout>
          </c:layout>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6.0567823343848533E-2"/>
              <c:y val="-0.1466458658346334"/>
            </c:manualLayout>
          </c:layout>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9.2533105602769917E-17"/>
              <c:y val="4.056162246489854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6.5615141955835968E-2"/>
              <c:y val="4.9921996879875197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1"/>
        <c:dLbl>
          <c:idx val="0"/>
          <c:showLegendKey val="0"/>
          <c:showVal val="1"/>
          <c:showCatName val="0"/>
          <c:showSerName val="0"/>
          <c:showPercent val="0"/>
          <c:showBubbleSize val="0"/>
          <c:extLst>
            <c:ext xmlns:c15="http://schemas.microsoft.com/office/drawing/2012/chart" uri="{CE6537A1-D6FC-4f65-9D91-7224C49458BB}"/>
          </c:extLst>
        </c:dLbl>
      </c:pivotFmt>
      <c:pivotFmt>
        <c:idx val="22"/>
        <c:dLbl>
          <c:idx val="0"/>
          <c:layout>
            <c:manualLayout>
              <c:x val="-3.5331230283911698E-2"/>
              <c:y val="6.552262090483608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3"/>
        <c:dLbl>
          <c:idx val="0"/>
          <c:layout>
            <c:manualLayout>
              <c:x val="-8.0757097791798127E-2"/>
              <c:y val="-0.13416536661466461"/>
            </c:manualLayout>
          </c:layout>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8.0757097791798113E-2"/>
              <c:y val="-9.984399375975039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5"/>
        <c:dLbl>
          <c:idx val="0"/>
          <c:layout>
            <c:manualLayout>
              <c:x val="-7.8233438485804441E-2"/>
              <c:y val="-7.4882995319812851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6"/>
        <c:dLbl>
          <c:idx val="0"/>
          <c:layout>
            <c:manualLayout>
              <c:x val="-5.8044164037854888E-2"/>
              <c:y val="-0.12168486739469579"/>
            </c:manualLayout>
          </c:layout>
          <c:showLegendKey val="0"/>
          <c:showVal val="1"/>
          <c:showCatName val="0"/>
          <c:showSerName val="0"/>
          <c:showPercent val="0"/>
          <c:showBubbleSize val="0"/>
          <c:extLst>
            <c:ext xmlns:c15="http://schemas.microsoft.com/office/drawing/2012/chart" uri="{CE6537A1-D6FC-4f65-9D91-7224C49458BB}"/>
          </c:extLst>
        </c:dLbl>
      </c:pivotFmt>
      <c:pivotFmt>
        <c:idx val="27"/>
        <c:dLbl>
          <c:idx val="0"/>
          <c:layout>
            <c:manualLayout>
              <c:x val="-6.0567823343848533E-2"/>
              <c:y val="-0.1466458658346334"/>
            </c:manualLayout>
          </c:layout>
          <c:showLegendKey val="0"/>
          <c:showVal val="1"/>
          <c:showCatName val="0"/>
          <c:showSerName val="0"/>
          <c:showPercent val="0"/>
          <c:showBubbleSize val="0"/>
          <c:extLst>
            <c:ext xmlns:c15="http://schemas.microsoft.com/office/drawing/2012/chart" uri="{CE6537A1-D6FC-4f65-9D91-7224C49458BB}"/>
          </c:extLst>
        </c:dLbl>
      </c:pivotFmt>
      <c:pivotFmt>
        <c:idx val="28"/>
        <c:dLbl>
          <c:idx val="0"/>
          <c:layout>
            <c:manualLayout>
              <c:x val="-9.2533105602769917E-17"/>
              <c:y val="4.056162246489854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9"/>
        <c:dLbl>
          <c:idx val="0"/>
          <c:layout>
            <c:manualLayout>
              <c:x val="-6.5615141955835968E-2"/>
              <c:y val="4.9921996879875197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0"/>
        <c:dLbl>
          <c:idx val="0"/>
          <c:layout>
            <c:manualLayout>
              <c:x val="-2.5236593059936908E-2"/>
              <c:y val="-0.12480499219968802"/>
            </c:manualLayout>
          </c:layout>
          <c:showLegendKey val="0"/>
          <c:showVal val="1"/>
          <c:showCatName val="0"/>
          <c:showSerName val="0"/>
          <c:showPercent val="0"/>
          <c:showBubbleSize val="0"/>
          <c:extLst>
            <c:ext xmlns:c15="http://schemas.microsoft.com/office/drawing/2012/chart" uri="{CE6537A1-D6FC-4f65-9D91-7224C49458BB}"/>
          </c:extLst>
        </c:dLbl>
      </c:pivotFmt>
      <c:pivotFmt>
        <c:idx val="31"/>
        <c:dLbl>
          <c:idx val="0"/>
          <c:layout>
            <c:manualLayout>
              <c:x val="2.523659305993691E-3"/>
              <c:y val="8.7363494539781539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2"/>
        <c:dLbl>
          <c:idx val="0"/>
          <c:layout>
            <c:manualLayout>
              <c:x val="-4.2902208201892743E-2"/>
              <c:y val="-8.736349453978159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3"/>
        <c:dLbl>
          <c:idx val="0"/>
          <c:layout>
            <c:manualLayout>
              <c:x val="3.7854889589905273E-2"/>
              <c:y val="-0.13104524180967239"/>
            </c:manualLayout>
          </c:layout>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2.5236593059936908E-2"/>
              <c:y val="6.240249609984393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2.523659305993691E-3"/>
              <c:y val="-0.13416536661466458"/>
            </c:manualLayout>
          </c:layout>
          <c:showLegendKey val="0"/>
          <c:showVal val="1"/>
          <c:showCatName val="0"/>
          <c:showSerName val="0"/>
          <c:showPercent val="0"/>
          <c:showBubbleSize val="0"/>
          <c:extLst>
            <c:ext xmlns:c15="http://schemas.microsoft.com/office/drawing/2012/chart" uri="{CE6537A1-D6FC-4f65-9D91-7224C49458BB}"/>
          </c:extLst>
        </c:dLbl>
      </c:pivotFmt>
      <c:pivotFmt>
        <c:idx val="36"/>
        <c:dLbl>
          <c:idx val="0"/>
          <c:layout>
            <c:manualLayout>
              <c:x val="0.17665615141955837"/>
              <c:y val="6.240249609984393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7"/>
        <c:dLbl>
          <c:idx val="0"/>
          <c:layout>
            <c:manualLayout>
              <c:x val="2.0189274447949435E-2"/>
              <c:y val="-0.11856474258970359"/>
            </c:manualLayout>
          </c:layout>
          <c:showLegendKey val="0"/>
          <c:showVal val="1"/>
          <c:showCatName val="0"/>
          <c:showSerName val="0"/>
          <c:showPercent val="0"/>
          <c:showBubbleSize val="0"/>
          <c:extLst>
            <c:ext xmlns:c15="http://schemas.microsoft.com/office/drawing/2012/chart" uri="{CE6537A1-D6FC-4f65-9D91-7224C49458BB}"/>
          </c:extLst>
        </c:dLbl>
      </c:pivotFmt>
      <c:pivotFmt>
        <c:idx val="38"/>
        <c:dLbl>
          <c:idx val="0"/>
          <c:layout>
            <c:manualLayout>
              <c:x val="0.13123028391167194"/>
              <c:y val="-5.3042121684867397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9"/>
        <c:dLbl>
          <c:idx val="0"/>
          <c:layout>
            <c:manualLayout>
              <c:x val="-5.0473186119875668E-3"/>
              <c:y val="-9.360374414976599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0"/>
        <c:dLbl>
          <c:idx val="0"/>
          <c:layout>
            <c:manualLayout>
              <c:x val="5.5520504731861202E-2"/>
              <c:y val="-4.680187207488302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1"/>
        <c:dLbl>
          <c:idx val="0"/>
          <c:layout>
            <c:manualLayout>
              <c:x val="4.2902208201892743E-2"/>
              <c:y val="-0.13104524180967236"/>
            </c:manualLayout>
          </c:layout>
          <c:showLegendKey val="0"/>
          <c:showVal val="1"/>
          <c:showCatName val="0"/>
          <c:showSerName val="0"/>
          <c:showPercent val="0"/>
          <c:showBubbleSize val="0"/>
          <c:extLst>
            <c:ext xmlns:c15="http://schemas.microsoft.com/office/drawing/2012/chart" uri="{CE6537A1-D6FC-4f65-9D91-7224C49458BB}"/>
          </c:extLst>
        </c:dLbl>
      </c:pivotFmt>
      <c:pivotFmt>
        <c:idx val="4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4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4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4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4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4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4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5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5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5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5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5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5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5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5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5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5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6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6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6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Task1!$B$16</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Task1!$A$17:$A$37</c:f>
              <c:strCache>
                <c:ptCount val="20"/>
                <c:pt idx="0">
                  <c:v>2022-01-01</c:v>
                </c:pt>
                <c:pt idx="1">
                  <c:v>2022-01-02</c:v>
                </c:pt>
                <c:pt idx="2">
                  <c:v>2022-01-03</c:v>
                </c:pt>
                <c:pt idx="3">
                  <c:v>2022-01-04</c:v>
                </c:pt>
                <c:pt idx="4">
                  <c:v>2022-01-05</c:v>
                </c:pt>
                <c:pt idx="5">
                  <c:v>2022-01-06</c:v>
                </c:pt>
                <c:pt idx="6">
                  <c:v>2022-01-07</c:v>
                </c:pt>
                <c:pt idx="7">
                  <c:v>2022-01-08</c:v>
                </c:pt>
                <c:pt idx="8">
                  <c:v>2022-01-09</c:v>
                </c:pt>
                <c:pt idx="9">
                  <c:v>2022-01-10</c:v>
                </c:pt>
                <c:pt idx="10">
                  <c:v>2022-01-11</c:v>
                </c:pt>
                <c:pt idx="11">
                  <c:v>2022-01-12</c:v>
                </c:pt>
                <c:pt idx="12">
                  <c:v>2022-01-13</c:v>
                </c:pt>
                <c:pt idx="13">
                  <c:v>2022-01-14</c:v>
                </c:pt>
                <c:pt idx="14">
                  <c:v>2022-01-15</c:v>
                </c:pt>
                <c:pt idx="15">
                  <c:v>2022-01-16</c:v>
                </c:pt>
                <c:pt idx="16">
                  <c:v>2022-01-17</c:v>
                </c:pt>
                <c:pt idx="17">
                  <c:v>2022-01-18</c:v>
                </c:pt>
                <c:pt idx="18">
                  <c:v>2022-01-19</c:v>
                </c:pt>
                <c:pt idx="19">
                  <c:v>2022-01-20</c:v>
                </c:pt>
              </c:strCache>
            </c:strRef>
          </c:cat>
          <c:val>
            <c:numRef>
              <c:f>Task1!$B$17:$B$37</c:f>
              <c:numCache>
                <c:formatCode>"$"#,##0</c:formatCode>
                <c:ptCount val="20"/>
                <c:pt idx="0">
                  <c:v>1000</c:v>
                </c:pt>
                <c:pt idx="1">
                  <c:v>1200</c:v>
                </c:pt>
                <c:pt idx="2">
                  <c:v>1500</c:v>
                </c:pt>
                <c:pt idx="3">
                  <c:v>800</c:v>
                </c:pt>
                <c:pt idx="4">
                  <c:v>1100</c:v>
                </c:pt>
                <c:pt idx="5">
                  <c:v>1300</c:v>
                </c:pt>
                <c:pt idx="6">
                  <c:v>900</c:v>
                </c:pt>
                <c:pt idx="7">
                  <c:v>1250</c:v>
                </c:pt>
                <c:pt idx="8">
                  <c:v>1450</c:v>
                </c:pt>
                <c:pt idx="9">
                  <c:v>1150</c:v>
                </c:pt>
                <c:pt idx="10">
                  <c:v>1400</c:v>
                </c:pt>
                <c:pt idx="11">
                  <c:v>1550</c:v>
                </c:pt>
                <c:pt idx="12">
                  <c:v>1200</c:v>
                </c:pt>
                <c:pt idx="13">
                  <c:v>1350</c:v>
                </c:pt>
                <c:pt idx="14">
                  <c:v>1250</c:v>
                </c:pt>
                <c:pt idx="15">
                  <c:v>1600</c:v>
                </c:pt>
                <c:pt idx="16">
                  <c:v>1150</c:v>
                </c:pt>
                <c:pt idx="17">
                  <c:v>1450</c:v>
                </c:pt>
                <c:pt idx="18">
                  <c:v>1400</c:v>
                </c:pt>
                <c:pt idx="19">
                  <c:v>1500</c:v>
                </c:pt>
              </c:numCache>
            </c:numRef>
          </c:val>
          <c:smooth val="0"/>
          <c:extLst>
            <c:ext xmlns:c16="http://schemas.microsoft.com/office/drawing/2014/chart" uri="{C3380CC4-5D6E-409C-BE32-E72D297353CC}">
              <c16:uniqueId val="{00000014-F002-4E3E-BA9E-A64480CAF8D6}"/>
            </c:ext>
          </c:extLst>
        </c:ser>
        <c:dLbls>
          <c:showLegendKey val="0"/>
          <c:showVal val="0"/>
          <c:showCatName val="0"/>
          <c:showSerName val="0"/>
          <c:showPercent val="0"/>
          <c:showBubbleSize val="0"/>
        </c:dLbls>
        <c:marker val="1"/>
        <c:smooth val="0"/>
        <c:axId val="1219222240"/>
        <c:axId val="1219223200"/>
      </c:lineChart>
      <c:catAx>
        <c:axId val="121922224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19223200"/>
        <c:crosses val="autoZero"/>
        <c:auto val="1"/>
        <c:lblAlgn val="ctr"/>
        <c:lblOffset val="100"/>
        <c:noMultiLvlLbl val="0"/>
      </c:catAx>
      <c:valAx>
        <c:axId val="1219223200"/>
        <c:scaling>
          <c:orientation val="minMax"/>
        </c:scaling>
        <c:delete val="0"/>
        <c:axPos val="l"/>
        <c:majorGridlines>
          <c:spPr>
            <a:ln w="9525" cap="flat" cmpd="sng" algn="ctr">
              <a:solidFill>
                <a:schemeClr val="lt1">
                  <a:lumMod val="95000"/>
                  <a:alpha val="10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19222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Task4!$B$1</c:f>
              <c:strCache>
                <c:ptCount val="1"/>
                <c:pt idx="0">
                  <c:v>Revenue</c:v>
                </c:pt>
              </c:strCache>
            </c:strRef>
          </c:tx>
          <c:spPr>
            <a:ln w="22225" cap="rnd" cmpd="sng" algn="ctr">
              <a:solidFill>
                <a:schemeClr val="accent1"/>
              </a:solidFill>
              <a:round/>
            </a:ln>
            <a:effectLst/>
          </c:spPr>
          <c:marker>
            <c:symbol val="none"/>
          </c:marker>
          <c:val>
            <c:numRef>
              <c:f>Task4!$B$2:$B$26</c:f>
              <c:numCache>
                <c:formatCode>"$"#,##0.00</c:formatCode>
                <c:ptCount val="25"/>
                <c:pt idx="0">
                  <c:v>1000</c:v>
                </c:pt>
                <c:pt idx="1">
                  <c:v>1200</c:v>
                </c:pt>
                <c:pt idx="2">
                  <c:v>1500</c:v>
                </c:pt>
                <c:pt idx="3">
                  <c:v>800</c:v>
                </c:pt>
                <c:pt idx="4">
                  <c:v>1100</c:v>
                </c:pt>
                <c:pt idx="5">
                  <c:v>1300</c:v>
                </c:pt>
                <c:pt idx="6">
                  <c:v>900</c:v>
                </c:pt>
                <c:pt idx="7">
                  <c:v>1250</c:v>
                </c:pt>
                <c:pt idx="8">
                  <c:v>1450</c:v>
                </c:pt>
                <c:pt idx="9">
                  <c:v>1150</c:v>
                </c:pt>
                <c:pt idx="10">
                  <c:v>1400</c:v>
                </c:pt>
                <c:pt idx="11">
                  <c:v>1550</c:v>
                </c:pt>
                <c:pt idx="12">
                  <c:v>1200</c:v>
                </c:pt>
                <c:pt idx="13">
                  <c:v>1350</c:v>
                </c:pt>
                <c:pt idx="14">
                  <c:v>1250</c:v>
                </c:pt>
                <c:pt idx="15">
                  <c:v>1600</c:v>
                </c:pt>
                <c:pt idx="16">
                  <c:v>1150</c:v>
                </c:pt>
                <c:pt idx="17">
                  <c:v>1450</c:v>
                </c:pt>
                <c:pt idx="18">
                  <c:v>1400</c:v>
                </c:pt>
                <c:pt idx="19">
                  <c:v>1500</c:v>
                </c:pt>
              </c:numCache>
            </c:numRef>
          </c:val>
          <c:smooth val="0"/>
          <c:extLst>
            <c:ext xmlns:c16="http://schemas.microsoft.com/office/drawing/2014/chart" uri="{C3380CC4-5D6E-409C-BE32-E72D297353CC}">
              <c16:uniqueId val="{00000000-8279-4F4F-9A16-23B82F248A60}"/>
            </c:ext>
          </c:extLst>
        </c:ser>
        <c:ser>
          <c:idx val="1"/>
          <c:order val="1"/>
          <c:tx>
            <c:strRef>
              <c:f>Task4!$C$1</c:f>
              <c:strCache>
                <c:ptCount val="1"/>
                <c:pt idx="0">
                  <c:v>Forecast(Revenue)</c:v>
                </c:pt>
              </c:strCache>
            </c:strRef>
          </c:tx>
          <c:spPr>
            <a:ln w="22225" cap="rnd" cmpd="sng" algn="ctr">
              <a:solidFill>
                <a:schemeClr val="accent2"/>
              </a:solidFill>
              <a:round/>
            </a:ln>
            <a:effectLst/>
          </c:spPr>
          <c:marker>
            <c:symbol val="none"/>
          </c:marker>
          <c:cat>
            <c:numRef>
              <c:f>Task4!$A$2:$A$26</c:f>
              <c:numCache>
                <c:formatCode>yyyy\-mm\-dd</c:formatCode>
                <c:ptCount val="25"/>
                <c:pt idx="0">
                  <c:v>44562</c:v>
                </c:pt>
                <c:pt idx="1">
                  <c:v>44563</c:v>
                </c:pt>
                <c:pt idx="2">
                  <c:v>44564</c:v>
                </c:pt>
                <c:pt idx="3">
                  <c:v>44565</c:v>
                </c:pt>
                <c:pt idx="4">
                  <c:v>44566</c:v>
                </c:pt>
                <c:pt idx="5">
                  <c:v>44567</c:v>
                </c:pt>
                <c:pt idx="6">
                  <c:v>44568</c:v>
                </c:pt>
                <c:pt idx="7">
                  <c:v>44569</c:v>
                </c:pt>
                <c:pt idx="8">
                  <c:v>44570</c:v>
                </c:pt>
                <c:pt idx="9">
                  <c:v>44571</c:v>
                </c:pt>
                <c:pt idx="10">
                  <c:v>44572</c:v>
                </c:pt>
                <c:pt idx="11">
                  <c:v>44573</c:v>
                </c:pt>
                <c:pt idx="12">
                  <c:v>44574</c:v>
                </c:pt>
                <c:pt idx="13">
                  <c:v>44575</c:v>
                </c:pt>
                <c:pt idx="14">
                  <c:v>44576</c:v>
                </c:pt>
                <c:pt idx="15">
                  <c:v>44577</c:v>
                </c:pt>
                <c:pt idx="16">
                  <c:v>44578</c:v>
                </c:pt>
                <c:pt idx="17">
                  <c:v>44579</c:v>
                </c:pt>
                <c:pt idx="18">
                  <c:v>44580</c:v>
                </c:pt>
                <c:pt idx="19">
                  <c:v>44581</c:v>
                </c:pt>
                <c:pt idx="20">
                  <c:v>44582</c:v>
                </c:pt>
                <c:pt idx="21">
                  <c:v>44583</c:v>
                </c:pt>
                <c:pt idx="22">
                  <c:v>44584</c:v>
                </c:pt>
                <c:pt idx="23">
                  <c:v>44585</c:v>
                </c:pt>
                <c:pt idx="24">
                  <c:v>44586</c:v>
                </c:pt>
              </c:numCache>
            </c:numRef>
          </c:cat>
          <c:val>
            <c:numRef>
              <c:f>Task4!$C$2:$C$26</c:f>
              <c:numCache>
                <c:formatCode>General</c:formatCode>
                <c:ptCount val="25"/>
                <c:pt idx="19" formatCode="&quot;$&quot;#,##0.00">
                  <c:v>1500</c:v>
                </c:pt>
                <c:pt idx="20" formatCode="&quot;$&quot;#,##0.00">
                  <c:v>1467.5856573093602</c:v>
                </c:pt>
                <c:pt idx="21" formatCode="&quot;$&quot;#,##0.00">
                  <c:v>1487.3073535852238</c:v>
                </c:pt>
                <c:pt idx="22" formatCode="&quot;$&quot;#,##0.00">
                  <c:v>1507.0290498610873</c:v>
                </c:pt>
                <c:pt idx="23" formatCode="&quot;$&quot;#,##0.00">
                  <c:v>1526.750746136951</c:v>
                </c:pt>
                <c:pt idx="24" formatCode="&quot;$&quot;#,##0.00">
                  <c:v>1546.4724424128146</c:v>
                </c:pt>
              </c:numCache>
            </c:numRef>
          </c:val>
          <c:smooth val="0"/>
          <c:extLst>
            <c:ext xmlns:c16="http://schemas.microsoft.com/office/drawing/2014/chart" uri="{C3380CC4-5D6E-409C-BE32-E72D297353CC}">
              <c16:uniqueId val="{00000001-8279-4F4F-9A16-23B82F248A60}"/>
            </c:ext>
          </c:extLst>
        </c:ser>
        <c:ser>
          <c:idx val="2"/>
          <c:order val="2"/>
          <c:tx>
            <c:strRef>
              <c:f>Task4!$D$1</c:f>
              <c:strCache>
                <c:ptCount val="1"/>
                <c:pt idx="0">
                  <c:v>Lower Confidence Bound(Revenue)</c:v>
                </c:pt>
              </c:strCache>
            </c:strRef>
          </c:tx>
          <c:spPr>
            <a:ln w="22225" cap="rnd" cmpd="sng" algn="ctr">
              <a:solidFill>
                <a:schemeClr val="accent3"/>
              </a:solidFill>
              <a:round/>
            </a:ln>
            <a:effectLst/>
          </c:spPr>
          <c:marker>
            <c:symbol val="none"/>
          </c:marker>
          <c:cat>
            <c:numRef>
              <c:f>Task4!$A$2:$A$26</c:f>
              <c:numCache>
                <c:formatCode>yyyy\-mm\-dd</c:formatCode>
                <c:ptCount val="25"/>
                <c:pt idx="0">
                  <c:v>44562</c:v>
                </c:pt>
                <c:pt idx="1">
                  <c:v>44563</c:v>
                </c:pt>
                <c:pt idx="2">
                  <c:v>44564</c:v>
                </c:pt>
                <c:pt idx="3">
                  <c:v>44565</c:v>
                </c:pt>
                <c:pt idx="4">
                  <c:v>44566</c:v>
                </c:pt>
                <c:pt idx="5">
                  <c:v>44567</c:v>
                </c:pt>
                <c:pt idx="6">
                  <c:v>44568</c:v>
                </c:pt>
                <c:pt idx="7">
                  <c:v>44569</c:v>
                </c:pt>
                <c:pt idx="8">
                  <c:v>44570</c:v>
                </c:pt>
                <c:pt idx="9">
                  <c:v>44571</c:v>
                </c:pt>
                <c:pt idx="10">
                  <c:v>44572</c:v>
                </c:pt>
                <c:pt idx="11">
                  <c:v>44573</c:v>
                </c:pt>
                <c:pt idx="12">
                  <c:v>44574</c:v>
                </c:pt>
                <c:pt idx="13">
                  <c:v>44575</c:v>
                </c:pt>
                <c:pt idx="14">
                  <c:v>44576</c:v>
                </c:pt>
                <c:pt idx="15">
                  <c:v>44577</c:v>
                </c:pt>
                <c:pt idx="16">
                  <c:v>44578</c:v>
                </c:pt>
                <c:pt idx="17">
                  <c:v>44579</c:v>
                </c:pt>
                <c:pt idx="18">
                  <c:v>44580</c:v>
                </c:pt>
                <c:pt idx="19">
                  <c:v>44581</c:v>
                </c:pt>
                <c:pt idx="20">
                  <c:v>44582</c:v>
                </c:pt>
                <c:pt idx="21">
                  <c:v>44583</c:v>
                </c:pt>
                <c:pt idx="22">
                  <c:v>44584</c:v>
                </c:pt>
                <c:pt idx="23">
                  <c:v>44585</c:v>
                </c:pt>
                <c:pt idx="24">
                  <c:v>44586</c:v>
                </c:pt>
              </c:numCache>
            </c:numRef>
          </c:cat>
          <c:val>
            <c:numRef>
              <c:f>Task4!$D$2:$D$26</c:f>
              <c:numCache>
                <c:formatCode>General</c:formatCode>
                <c:ptCount val="25"/>
                <c:pt idx="19" formatCode="&quot;$&quot;#,##0.00">
                  <c:v>1500</c:v>
                </c:pt>
                <c:pt idx="20" formatCode="&quot;$&quot;#,##0.00">
                  <c:v>1082.5160612344462</c:v>
                </c:pt>
                <c:pt idx="21" formatCode="&quot;$&quot;#,##0.00">
                  <c:v>1100.278693461883</c:v>
                </c:pt>
                <c:pt idx="22" formatCode="&quot;$&quot;#,##0.00">
                  <c:v>1118.0125023377391</c:v>
                </c:pt>
                <c:pt idx="23" formatCode="&quot;$&quot;#,##0.00">
                  <c:v>1135.7175482510995</c:v>
                </c:pt>
                <c:pt idx="24" formatCode="&quot;$&quot;#,##0.00">
                  <c:v>1153.3938966746803</c:v>
                </c:pt>
              </c:numCache>
            </c:numRef>
          </c:val>
          <c:smooth val="0"/>
          <c:extLst>
            <c:ext xmlns:c16="http://schemas.microsoft.com/office/drawing/2014/chart" uri="{C3380CC4-5D6E-409C-BE32-E72D297353CC}">
              <c16:uniqueId val="{00000002-8279-4F4F-9A16-23B82F248A60}"/>
            </c:ext>
          </c:extLst>
        </c:ser>
        <c:ser>
          <c:idx val="3"/>
          <c:order val="3"/>
          <c:tx>
            <c:strRef>
              <c:f>Task4!$E$1</c:f>
              <c:strCache>
                <c:ptCount val="1"/>
                <c:pt idx="0">
                  <c:v>Upper Confidence Bound(Revenue)</c:v>
                </c:pt>
              </c:strCache>
            </c:strRef>
          </c:tx>
          <c:spPr>
            <a:ln w="22225" cap="rnd" cmpd="sng" algn="ctr">
              <a:solidFill>
                <a:schemeClr val="accent4"/>
              </a:solidFill>
              <a:round/>
            </a:ln>
            <a:effectLst/>
          </c:spPr>
          <c:marker>
            <c:symbol val="none"/>
          </c:marker>
          <c:cat>
            <c:numRef>
              <c:f>Task4!$A$2:$A$26</c:f>
              <c:numCache>
                <c:formatCode>yyyy\-mm\-dd</c:formatCode>
                <c:ptCount val="25"/>
                <c:pt idx="0">
                  <c:v>44562</c:v>
                </c:pt>
                <c:pt idx="1">
                  <c:v>44563</c:v>
                </c:pt>
                <c:pt idx="2">
                  <c:v>44564</c:v>
                </c:pt>
                <c:pt idx="3">
                  <c:v>44565</c:v>
                </c:pt>
                <c:pt idx="4">
                  <c:v>44566</c:v>
                </c:pt>
                <c:pt idx="5">
                  <c:v>44567</c:v>
                </c:pt>
                <c:pt idx="6">
                  <c:v>44568</c:v>
                </c:pt>
                <c:pt idx="7">
                  <c:v>44569</c:v>
                </c:pt>
                <c:pt idx="8">
                  <c:v>44570</c:v>
                </c:pt>
                <c:pt idx="9">
                  <c:v>44571</c:v>
                </c:pt>
                <c:pt idx="10">
                  <c:v>44572</c:v>
                </c:pt>
                <c:pt idx="11">
                  <c:v>44573</c:v>
                </c:pt>
                <c:pt idx="12">
                  <c:v>44574</c:v>
                </c:pt>
                <c:pt idx="13">
                  <c:v>44575</c:v>
                </c:pt>
                <c:pt idx="14">
                  <c:v>44576</c:v>
                </c:pt>
                <c:pt idx="15">
                  <c:v>44577</c:v>
                </c:pt>
                <c:pt idx="16">
                  <c:v>44578</c:v>
                </c:pt>
                <c:pt idx="17">
                  <c:v>44579</c:v>
                </c:pt>
                <c:pt idx="18">
                  <c:v>44580</c:v>
                </c:pt>
                <c:pt idx="19">
                  <c:v>44581</c:v>
                </c:pt>
                <c:pt idx="20">
                  <c:v>44582</c:v>
                </c:pt>
                <c:pt idx="21">
                  <c:v>44583</c:v>
                </c:pt>
                <c:pt idx="22">
                  <c:v>44584</c:v>
                </c:pt>
                <c:pt idx="23">
                  <c:v>44585</c:v>
                </c:pt>
                <c:pt idx="24">
                  <c:v>44586</c:v>
                </c:pt>
              </c:numCache>
            </c:numRef>
          </c:cat>
          <c:val>
            <c:numRef>
              <c:f>Task4!$E$2:$E$26</c:f>
              <c:numCache>
                <c:formatCode>General</c:formatCode>
                <c:ptCount val="25"/>
                <c:pt idx="19" formatCode="&quot;$&quot;#,##0.00">
                  <c:v>1500</c:v>
                </c:pt>
                <c:pt idx="20" formatCode="&quot;$&quot;#,##0.00">
                  <c:v>1852.6552533842741</c:v>
                </c:pt>
                <c:pt idx="21" formatCode="&quot;$&quot;#,##0.00">
                  <c:v>1874.3360137085647</c:v>
                </c:pt>
                <c:pt idx="22" formatCode="&quot;$&quot;#,##0.00">
                  <c:v>1896.0455973844355</c:v>
                </c:pt>
                <c:pt idx="23" formatCode="&quot;$&quot;#,##0.00">
                  <c:v>1917.7839440228024</c:v>
                </c:pt>
                <c:pt idx="24" formatCode="&quot;$&quot;#,##0.00">
                  <c:v>1939.550988150949</c:v>
                </c:pt>
              </c:numCache>
            </c:numRef>
          </c:val>
          <c:smooth val="0"/>
          <c:extLst>
            <c:ext xmlns:c16="http://schemas.microsoft.com/office/drawing/2014/chart" uri="{C3380CC4-5D6E-409C-BE32-E72D297353CC}">
              <c16:uniqueId val="{00000003-8279-4F4F-9A16-23B82F248A60}"/>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1692517792"/>
        <c:axId val="1692522592"/>
      </c:lineChart>
      <c:catAx>
        <c:axId val="1692517792"/>
        <c:scaling>
          <c:orientation val="minMax"/>
        </c:scaling>
        <c:delete val="0"/>
        <c:axPos val="b"/>
        <c:majorTickMark val="none"/>
        <c:minorTickMark val="none"/>
        <c:tickLblPos val="low"/>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692522592"/>
        <c:crosses val="autoZero"/>
        <c:auto val="1"/>
        <c:lblAlgn val="ctr"/>
        <c:lblOffset val="100"/>
        <c:noMultiLvlLbl val="0"/>
      </c:catAx>
      <c:valAx>
        <c:axId val="1692522592"/>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692517792"/>
        <c:crosses val="autoZero"/>
        <c:crossBetween val="between"/>
      </c:valAx>
      <c:spPr>
        <a:gradFill>
          <a:gsLst>
            <a:gs pos="100000">
              <a:schemeClr val="lt1">
                <a:lumMod val="95000"/>
              </a:schemeClr>
            </a:gs>
            <a:gs pos="0">
              <a:schemeClr val="lt1"/>
            </a:gs>
          </a:gsLst>
          <a:lin ang="5400000" scaled="0"/>
        </a:gra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Actual Vs Forecasted Revenue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Task4!$B$43</c:f>
              <c:strCache>
                <c:ptCount val="1"/>
                <c:pt idx="0">
                  <c:v>Row Labels</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val>
            <c:numRef>
              <c:f>Task4!$B$44:$B$55</c:f>
              <c:numCache>
                <c:formatCode>General</c:formatCode>
                <c:ptCount val="12"/>
                <c:pt idx="0">
                  <c:v>30</c:v>
                </c:pt>
                <c:pt idx="1">
                  <c:v>35</c:v>
                </c:pt>
                <c:pt idx="2">
                  <c:v>40</c:v>
                </c:pt>
                <c:pt idx="3">
                  <c:v>42</c:v>
                </c:pt>
                <c:pt idx="4">
                  <c:v>45</c:v>
                </c:pt>
                <c:pt idx="5">
                  <c:v>48</c:v>
                </c:pt>
                <c:pt idx="6">
                  <c:v>50</c:v>
                </c:pt>
                <c:pt idx="7">
                  <c:v>55</c:v>
                </c:pt>
                <c:pt idx="8">
                  <c:v>58</c:v>
                </c:pt>
                <c:pt idx="9">
                  <c:v>60</c:v>
                </c:pt>
                <c:pt idx="10">
                  <c:v>62</c:v>
                </c:pt>
                <c:pt idx="11">
                  <c:v>65</c:v>
                </c:pt>
              </c:numCache>
            </c:numRef>
          </c:val>
          <c:smooth val="0"/>
          <c:extLst>
            <c:ext xmlns:c16="http://schemas.microsoft.com/office/drawing/2014/chart" uri="{C3380CC4-5D6E-409C-BE32-E72D297353CC}">
              <c16:uniqueId val="{00000000-DD50-4D6D-8A7A-0BB6208D3072}"/>
            </c:ext>
          </c:extLst>
        </c:ser>
        <c:ser>
          <c:idx val="1"/>
          <c:order val="1"/>
          <c:tx>
            <c:strRef>
              <c:f>Task4!$C$43</c:f>
              <c:strCache>
                <c:ptCount val="1"/>
                <c:pt idx="0">
                  <c:v>Actual Revenue</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val>
            <c:numRef>
              <c:f>Task4!$C$44:$C$55</c:f>
              <c:numCache>
                <c:formatCode>"₹"\ #,##0</c:formatCode>
                <c:ptCount val="12"/>
                <c:pt idx="0">
                  <c:v>800</c:v>
                </c:pt>
                <c:pt idx="1">
                  <c:v>900</c:v>
                </c:pt>
                <c:pt idx="2">
                  <c:v>2400</c:v>
                </c:pt>
                <c:pt idx="3">
                  <c:v>2300</c:v>
                </c:pt>
                <c:pt idx="4">
                  <c:v>1100</c:v>
                </c:pt>
                <c:pt idx="5">
                  <c:v>2500</c:v>
                </c:pt>
                <c:pt idx="6">
                  <c:v>3800</c:v>
                </c:pt>
                <c:pt idx="7">
                  <c:v>2650</c:v>
                </c:pt>
                <c:pt idx="8">
                  <c:v>2900</c:v>
                </c:pt>
                <c:pt idx="9">
                  <c:v>3000</c:v>
                </c:pt>
                <c:pt idx="10">
                  <c:v>1550</c:v>
                </c:pt>
                <c:pt idx="11">
                  <c:v>1600</c:v>
                </c:pt>
              </c:numCache>
            </c:numRef>
          </c:val>
          <c:smooth val="0"/>
          <c:extLst>
            <c:ext xmlns:c16="http://schemas.microsoft.com/office/drawing/2014/chart" uri="{C3380CC4-5D6E-409C-BE32-E72D297353CC}">
              <c16:uniqueId val="{00000001-DD50-4D6D-8A7A-0BB6208D3072}"/>
            </c:ext>
          </c:extLst>
        </c:ser>
        <c:ser>
          <c:idx val="2"/>
          <c:order val="2"/>
          <c:tx>
            <c:strRef>
              <c:f>Task4!$D$43</c:f>
              <c:strCache>
                <c:ptCount val="1"/>
                <c:pt idx="0">
                  <c:v>Forecasted Revenue</c:v>
                </c:pt>
              </c:strCache>
            </c:strRef>
          </c:tx>
          <c:spPr>
            <a:ln w="22225" cap="rnd">
              <a:solidFill>
                <a:schemeClr val="accent3"/>
              </a:solidFill>
              <a:round/>
            </a:ln>
            <a:effectLst/>
          </c:spPr>
          <c:marker>
            <c:symbol val="triangle"/>
            <c:size val="6"/>
            <c:spPr>
              <a:solidFill>
                <a:schemeClr val="accent3"/>
              </a:solidFill>
              <a:ln w="9525">
                <a:solidFill>
                  <a:schemeClr val="accent3"/>
                </a:solidFill>
                <a:round/>
              </a:ln>
              <a:effectLst/>
            </c:spPr>
          </c:marker>
          <c:val>
            <c:numRef>
              <c:f>Task4!$D$44:$D$55</c:f>
              <c:numCache>
                <c:formatCode>General</c:formatCode>
                <c:ptCount val="12"/>
                <c:pt idx="0">
                  <c:v>1453.63</c:v>
                </c:pt>
                <c:pt idx="1">
                  <c:v>1628.73</c:v>
                </c:pt>
                <c:pt idx="2">
                  <c:v>1803.8300000000002</c:v>
                </c:pt>
                <c:pt idx="3">
                  <c:v>1873.8700000000001</c:v>
                </c:pt>
                <c:pt idx="4">
                  <c:v>1978.93</c:v>
                </c:pt>
                <c:pt idx="5">
                  <c:v>2083.9899999999998</c:v>
                </c:pt>
                <c:pt idx="6">
                  <c:v>2154.0300000000002</c:v>
                </c:pt>
                <c:pt idx="7">
                  <c:v>2329.13</c:v>
                </c:pt>
                <c:pt idx="8">
                  <c:v>2434.19</c:v>
                </c:pt>
                <c:pt idx="9">
                  <c:v>2504.2300000000005</c:v>
                </c:pt>
                <c:pt idx="10">
                  <c:v>2574.2700000000004</c:v>
                </c:pt>
                <c:pt idx="11">
                  <c:v>2679.33</c:v>
                </c:pt>
              </c:numCache>
            </c:numRef>
          </c:val>
          <c:smooth val="0"/>
          <c:extLst>
            <c:ext xmlns:c16="http://schemas.microsoft.com/office/drawing/2014/chart" uri="{C3380CC4-5D6E-409C-BE32-E72D297353CC}">
              <c16:uniqueId val="{00000002-DD50-4D6D-8A7A-0BB6208D3072}"/>
            </c:ext>
          </c:extLst>
        </c:ser>
        <c:dLbls>
          <c:dLblPos val="ctr"/>
          <c:showLegendKey val="0"/>
          <c:showVal val="0"/>
          <c:showCatName val="0"/>
          <c:showSerName val="0"/>
          <c:showPercent val="0"/>
          <c:showBubbleSize val="0"/>
        </c:dLbls>
        <c:marker val="1"/>
        <c:smooth val="0"/>
        <c:axId val="1684733952"/>
        <c:axId val="1684737792"/>
      </c:lineChart>
      <c:catAx>
        <c:axId val="1684733952"/>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684737792"/>
        <c:crosses val="autoZero"/>
        <c:auto val="1"/>
        <c:lblAlgn val="ctr"/>
        <c:lblOffset val="100"/>
        <c:noMultiLvlLbl val="0"/>
      </c:catAx>
      <c:valAx>
        <c:axId val="1684737792"/>
        <c:scaling>
          <c:orientation val="minMax"/>
        </c:scaling>
        <c:delete val="0"/>
        <c:axPos val="l"/>
        <c:title>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7339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8</xdr:col>
      <xdr:colOff>355169</xdr:colOff>
      <xdr:row>0</xdr:row>
      <xdr:rowOff>146049</xdr:rowOff>
    </xdr:from>
    <xdr:to>
      <xdr:col>15</xdr:col>
      <xdr:colOff>505847</xdr:colOff>
      <xdr:row>18</xdr:row>
      <xdr:rowOff>21524</xdr:rowOff>
    </xdr:to>
    <xdr:graphicFrame macro="">
      <xdr:nvGraphicFramePr>
        <xdr:cNvPr id="2" name="Chart 1">
          <a:extLst>
            <a:ext uri="{FF2B5EF4-FFF2-40B4-BE49-F238E27FC236}">
              <a16:creationId xmlns:a16="http://schemas.microsoft.com/office/drawing/2014/main" id="{8B207F0B-6167-25DB-521A-1A777CD439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155574</xdr:colOff>
      <xdr:row>15</xdr:row>
      <xdr:rowOff>12700</xdr:rowOff>
    </xdr:from>
    <xdr:to>
      <xdr:col>8</xdr:col>
      <xdr:colOff>234949</xdr:colOff>
      <xdr:row>37</xdr:row>
      <xdr:rowOff>31750</xdr:rowOff>
    </xdr:to>
    <xdr:graphicFrame macro="">
      <xdr:nvGraphicFramePr>
        <xdr:cNvPr id="3" name="Chart 2">
          <a:extLst>
            <a:ext uri="{FF2B5EF4-FFF2-40B4-BE49-F238E27FC236}">
              <a16:creationId xmlns:a16="http://schemas.microsoft.com/office/drawing/2014/main" id="{2BA24FFB-3FA7-3E87-7555-D28D31F290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89779</xdr:colOff>
      <xdr:row>3</xdr:row>
      <xdr:rowOff>125605</xdr:rowOff>
    </xdr:from>
    <xdr:to>
      <xdr:col>6</xdr:col>
      <xdr:colOff>175055</xdr:colOff>
      <xdr:row>26</xdr:row>
      <xdr:rowOff>171622</xdr:rowOff>
    </xdr:to>
    <xdr:graphicFrame macro="">
      <xdr:nvGraphicFramePr>
        <xdr:cNvPr id="2" name="Chart 1">
          <a:extLst>
            <a:ext uri="{FF2B5EF4-FFF2-40B4-BE49-F238E27FC236}">
              <a16:creationId xmlns:a16="http://schemas.microsoft.com/office/drawing/2014/main" id="{18299861-260D-4EA4-98EF-0DB531E92D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315260</xdr:colOff>
      <xdr:row>3</xdr:row>
      <xdr:rowOff>112273</xdr:rowOff>
    </xdr:from>
    <xdr:to>
      <xdr:col>14</xdr:col>
      <xdr:colOff>239440</xdr:colOff>
      <xdr:row>26</xdr:row>
      <xdr:rowOff>170492</xdr:rowOff>
    </xdr:to>
    <xdr:graphicFrame macro="">
      <xdr:nvGraphicFramePr>
        <xdr:cNvPr id="3" name="Chart 2">
          <a:extLst>
            <a:ext uri="{FF2B5EF4-FFF2-40B4-BE49-F238E27FC236}">
              <a16:creationId xmlns:a16="http://schemas.microsoft.com/office/drawing/2014/main" id="{EC485882-66C5-42A9-90C6-0B1ED88FE8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369033</xdr:colOff>
      <xdr:row>20</xdr:row>
      <xdr:rowOff>71995</xdr:rowOff>
    </xdr:from>
    <xdr:to>
      <xdr:col>17</xdr:col>
      <xdr:colOff>138728</xdr:colOff>
      <xdr:row>26</xdr:row>
      <xdr:rowOff>151538</xdr:rowOff>
    </xdr:to>
    <mc:AlternateContent xmlns:mc="http://schemas.openxmlformats.org/markup-compatibility/2006" xmlns:a14="http://schemas.microsoft.com/office/drawing/2010/main">
      <mc:Choice Requires="a14">
        <xdr:graphicFrame macro="">
          <xdr:nvGraphicFramePr>
            <xdr:cNvPr id="4" name="Salesperson">
              <a:extLst>
                <a:ext uri="{FF2B5EF4-FFF2-40B4-BE49-F238E27FC236}">
                  <a16:creationId xmlns:a16="http://schemas.microsoft.com/office/drawing/2014/main" id="{E49B716F-74A6-F423-32FA-71C809295981}"/>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8615566" y="3797328"/>
              <a:ext cx="1598495" cy="11971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358384</xdr:colOff>
      <xdr:row>3</xdr:row>
      <xdr:rowOff>123730</xdr:rowOff>
    </xdr:from>
    <xdr:to>
      <xdr:col>17</xdr:col>
      <xdr:colOff>192053</xdr:colOff>
      <xdr:row>12</xdr:row>
      <xdr:rowOff>9997</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D13FC62E-B901-9A75-CEF4-C04D6790CF2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604917" y="682530"/>
              <a:ext cx="1662469" cy="15626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368773</xdr:colOff>
      <xdr:row>12</xdr:row>
      <xdr:rowOff>163905</xdr:rowOff>
    </xdr:from>
    <xdr:to>
      <xdr:col>17</xdr:col>
      <xdr:colOff>152684</xdr:colOff>
      <xdr:row>19</xdr:row>
      <xdr:rowOff>93839</xdr:rowOff>
    </xdr:to>
    <mc:AlternateContent xmlns:mc="http://schemas.openxmlformats.org/markup-compatibility/2006" xmlns:a14="http://schemas.microsoft.com/office/drawing/2010/main">
      <mc:Choice Requires="a14">
        <xdr:graphicFrame macro="">
          <xdr:nvGraphicFramePr>
            <xdr:cNvPr id="6" name="Product">
              <a:extLst>
                <a:ext uri="{FF2B5EF4-FFF2-40B4-BE49-F238E27FC236}">
                  <a16:creationId xmlns:a16="http://schemas.microsoft.com/office/drawing/2014/main" id="{1E04B446-5FFF-0DC8-AFBF-8FC0A15E1CA5}"/>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8615306" y="2399105"/>
              <a:ext cx="1612711" cy="12338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139016</xdr:colOff>
      <xdr:row>0</xdr:row>
      <xdr:rowOff>95001</xdr:rowOff>
    </xdr:from>
    <xdr:to>
      <xdr:col>14</xdr:col>
      <xdr:colOff>232625</xdr:colOff>
      <xdr:row>26</xdr:row>
      <xdr:rowOff>87157</xdr:rowOff>
    </xdr:to>
    <xdr:graphicFrame macro="">
      <xdr:nvGraphicFramePr>
        <xdr:cNvPr id="2" name="Chart 1">
          <a:extLst>
            <a:ext uri="{FF2B5EF4-FFF2-40B4-BE49-F238E27FC236}">
              <a16:creationId xmlns:a16="http://schemas.microsoft.com/office/drawing/2014/main" id="{CF42AD4B-FABD-348D-9B07-F50B5E175D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219274</xdr:colOff>
      <xdr:row>41</xdr:row>
      <xdr:rowOff>146447</xdr:rowOff>
    </xdr:from>
    <xdr:to>
      <xdr:col>11</xdr:col>
      <xdr:colOff>436563</xdr:colOff>
      <xdr:row>57</xdr:row>
      <xdr:rowOff>148829</xdr:rowOff>
    </xdr:to>
    <xdr:graphicFrame macro="">
      <xdr:nvGraphicFramePr>
        <xdr:cNvPr id="8" name="Chart 7">
          <a:extLst>
            <a:ext uri="{FF2B5EF4-FFF2-40B4-BE49-F238E27FC236}">
              <a16:creationId xmlns:a16="http://schemas.microsoft.com/office/drawing/2014/main" id="{D9A4DB0C-42DB-95C1-0DDD-89E45FC0C0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317.818491203703" createdVersion="8" refreshedVersion="8" minRefreshableVersion="3" recordCount="20" xr:uid="{6E18BFB9-8C5F-43C7-8D08-94F19DD9B51A}">
  <cacheSource type="worksheet">
    <worksheetSource ref="A1:F21" sheet="DataSet"/>
  </cacheSource>
  <cacheFields count="6">
    <cacheField name="Date" numFmtId="164">
      <sharedItems containsSemiMixedTypes="0" containsNonDate="0" containsDate="1" containsString="0" minDate="2022-01-01T00:00:00" maxDate="2022-01-21T00:00:00" count="2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sharedItems>
    </cacheField>
    <cacheField name="Salesperson" numFmtId="0">
      <sharedItems count="3">
        <s v="John"/>
        <s v="Alice"/>
        <s v="Bob"/>
      </sharedItems>
    </cacheField>
    <cacheField name="Region" numFmtId="0">
      <sharedItems count="4">
        <s v="North"/>
        <s v="South"/>
        <s v="West"/>
        <s v="East"/>
      </sharedItems>
    </cacheField>
    <cacheField name="Product" numFmtId="0">
      <sharedItems count="3">
        <s v="Product A"/>
        <s v="Product B"/>
        <s v="Product C"/>
      </sharedItems>
    </cacheField>
    <cacheField name="Units Sold" numFmtId="0">
      <sharedItems containsSemiMixedTypes="0" containsString="0" containsNumber="1" containsInteger="1" minValue="30" maxValue="65" count="12">
        <n v="50"/>
        <n v="40"/>
        <n v="60"/>
        <n v="30"/>
        <n v="45"/>
        <n v="55"/>
        <n v="35"/>
        <n v="48"/>
        <n v="58"/>
        <n v="42"/>
        <n v="62"/>
        <n v="65"/>
      </sharedItems>
    </cacheField>
    <cacheField name="Revenue" numFmtId="165">
      <sharedItems containsSemiMixedTypes="0" containsString="0" containsNumber="1" containsInteger="1" minValue="800" maxValue="1600"/>
    </cacheField>
  </cacheFields>
  <extLst>
    <ext xmlns:x14="http://schemas.microsoft.com/office/spreadsheetml/2009/9/main" uri="{725AE2AE-9491-48be-B2B4-4EB974FC3084}">
      <x14:pivotCacheDefinition pivotCacheId="19684032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x v="0"/>
    <n v="1000"/>
  </r>
  <r>
    <x v="1"/>
    <x v="1"/>
    <x v="1"/>
    <x v="1"/>
    <x v="1"/>
    <n v="1200"/>
  </r>
  <r>
    <x v="2"/>
    <x v="0"/>
    <x v="2"/>
    <x v="0"/>
    <x v="2"/>
    <n v="1500"/>
  </r>
  <r>
    <x v="3"/>
    <x v="2"/>
    <x v="3"/>
    <x v="2"/>
    <x v="3"/>
    <n v="800"/>
  </r>
  <r>
    <x v="4"/>
    <x v="1"/>
    <x v="0"/>
    <x v="1"/>
    <x v="4"/>
    <n v="1100"/>
  </r>
  <r>
    <x v="5"/>
    <x v="0"/>
    <x v="1"/>
    <x v="0"/>
    <x v="5"/>
    <n v="1300"/>
  </r>
  <r>
    <x v="6"/>
    <x v="2"/>
    <x v="3"/>
    <x v="1"/>
    <x v="6"/>
    <n v="900"/>
  </r>
  <r>
    <x v="7"/>
    <x v="1"/>
    <x v="0"/>
    <x v="2"/>
    <x v="7"/>
    <n v="1250"/>
  </r>
  <r>
    <x v="8"/>
    <x v="0"/>
    <x v="2"/>
    <x v="1"/>
    <x v="8"/>
    <n v="1450"/>
  </r>
  <r>
    <x v="9"/>
    <x v="2"/>
    <x v="1"/>
    <x v="0"/>
    <x v="9"/>
    <n v="1150"/>
  </r>
  <r>
    <x v="10"/>
    <x v="1"/>
    <x v="3"/>
    <x v="2"/>
    <x v="0"/>
    <n v="1400"/>
  </r>
  <r>
    <x v="11"/>
    <x v="0"/>
    <x v="0"/>
    <x v="0"/>
    <x v="10"/>
    <n v="1550"/>
  </r>
  <r>
    <x v="12"/>
    <x v="2"/>
    <x v="2"/>
    <x v="1"/>
    <x v="1"/>
    <n v="1200"/>
  </r>
  <r>
    <x v="13"/>
    <x v="1"/>
    <x v="1"/>
    <x v="2"/>
    <x v="5"/>
    <n v="1350"/>
  </r>
  <r>
    <x v="14"/>
    <x v="0"/>
    <x v="3"/>
    <x v="0"/>
    <x v="7"/>
    <n v="1250"/>
  </r>
  <r>
    <x v="15"/>
    <x v="2"/>
    <x v="0"/>
    <x v="1"/>
    <x v="11"/>
    <n v="1600"/>
  </r>
  <r>
    <x v="16"/>
    <x v="1"/>
    <x v="2"/>
    <x v="2"/>
    <x v="9"/>
    <n v="1150"/>
  </r>
  <r>
    <x v="17"/>
    <x v="0"/>
    <x v="1"/>
    <x v="0"/>
    <x v="8"/>
    <n v="1450"/>
  </r>
  <r>
    <x v="18"/>
    <x v="2"/>
    <x v="3"/>
    <x v="1"/>
    <x v="0"/>
    <n v="1400"/>
  </r>
  <r>
    <x v="19"/>
    <x v="1"/>
    <x v="0"/>
    <x v="2"/>
    <x v="2"/>
    <n v="1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A5F950-9292-48A1-BFBC-E551CAEC946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14" firstHeaderRow="1" firstDataRow="1" firstDataCol="1"/>
  <pivotFields count="6">
    <pivotField numFmtId="164" showAll="0"/>
    <pivotField axis="axisRow" showAll="0">
      <items count="4">
        <item x="1"/>
        <item x="2"/>
        <item x="0"/>
        <item t="default"/>
      </items>
    </pivotField>
    <pivotField showAll="0">
      <items count="5">
        <item x="3"/>
        <item x="0"/>
        <item x="1"/>
        <item x="2"/>
        <item t="default"/>
      </items>
    </pivotField>
    <pivotField axis="axisRow" showAll="0">
      <items count="4">
        <item x="0"/>
        <item x="1"/>
        <item x="2"/>
        <item t="default"/>
      </items>
    </pivotField>
    <pivotField showAll="0"/>
    <pivotField dataField="1" numFmtId="165" showAll="0"/>
  </pivotFields>
  <rowFields count="2">
    <field x="3"/>
    <field x="1"/>
  </rowFields>
  <rowItems count="11">
    <i>
      <x/>
    </i>
    <i r="1">
      <x v="1"/>
    </i>
    <i r="1">
      <x v="2"/>
    </i>
    <i>
      <x v="1"/>
    </i>
    <i r="1">
      <x/>
    </i>
    <i r="1">
      <x v="1"/>
    </i>
    <i r="1">
      <x v="2"/>
    </i>
    <i>
      <x v="2"/>
    </i>
    <i r="1">
      <x/>
    </i>
    <i r="1">
      <x v="1"/>
    </i>
    <i t="grand">
      <x/>
    </i>
  </rowItems>
  <colItems count="1">
    <i/>
  </colItems>
  <dataFields count="1">
    <dataField name="Sum of Revenue" fld="5" baseField="0" baseItem="0" numFmtId="166"/>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9EC3A6-4D9B-477F-8EC9-C3BB6F0E153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6">
    <pivotField numFmtId="164" showAll="0"/>
    <pivotField axis="axisRow" showAll="0">
      <items count="4">
        <item x="1"/>
        <item x="2"/>
        <item x="0"/>
        <item t="default"/>
      </items>
    </pivotField>
    <pivotField showAll="0">
      <items count="5">
        <item x="3"/>
        <item x="0"/>
        <item x="1"/>
        <item x="2"/>
        <item t="default"/>
      </items>
    </pivotField>
    <pivotField axis="axisRow" showAll="0">
      <items count="4">
        <item x="0"/>
        <item x="1"/>
        <item x="2"/>
        <item t="default"/>
      </items>
    </pivotField>
    <pivotField showAll="0"/>
    <pivotField dataField="1" numFmtId="165" showAll="0"/>
  </pivotFields>
  <rowFields count="2">
    <field x="1"/>
    <field x="3"/>
  </rowFields>
  <rowItems count="11">
    <i>
      <x/>
    </i>
    <i r="1">
      <x v="1"/>
    </i>
    <i r="1">
      <x v="2"/>
    </i>
    <i>
      <x v="1"/>
    </i>
    <i r="1">
      <x/>
    </i>
    <i r="1">
      <x v="1"/>
    </i>
    <i r="1">
      <x v="2"/>
    </i>
    <i>
      <x v="2"/>
    </i>
    <i r="1">
      <x/>
    </i>
    <i r="1">
      <x v="1"/>
    </i>
    <i t="grand">
      <x/>
    </i>
  </rowItems>
  <colItems count="1">
    <i/>
  </colItems>
  <dataFields count="1">
    <dataField name="Sum of Revenue" fld="5" baseField="0" baseItem="0" numFmtId="166"/>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80C277-A030-4808-85E4-9DE7612A6B8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6:B37" firstHeaderRow="1" firstDataRow="1" firstDataCol="1"/>
  <pivotFields count="6">
    <pivotField axis="axisRow" numFmtId="164" showAll="0">
      <items count="21">
        <item x="0"/>
        <item x="1"/>
        <item x="2"/>
        <item x="3"/>
        <item x="4"/>
        <item x="5"/>
        <item x="6"/>
        <item x="7"/>
        <item x="8"/>
        <item x="9"/>
        <item x="10"/>
        <item x="11"/>
        <item x="12"/>
        <item x="13"/>
        <item x="14"/>
        <item x="15"/>
        <item x="16"/>
        <item x="17"/>
        <item x="18"/>
        <item x="19"/>
        <item t="default"/>
      </items>
    </pivotField>
    <pivotField showAll="0"/>
    <pivotField showAll="0"/>
    <pivotField showAll="0"/>
    <pivotField showAll="0"/>
    <pivotField dataField="1" numFmtId="165" showAl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Revenue" fld="5" baseField="0" baseItem="0" numFmtId="166"/>
  </dataFields>
  <formats count="1">
    <format dxfId="2">
      <pivotArea outline="0" collapsedLevelsAreSubtotals="1" fieldPosition="0"/>
    </format>
  </formats>
  <chartFormats count="4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5"/>
          </reference>
        </references>
      </pivotArea>
    </chartFormat>
    <chartFormat chart="0" format="2">
      <pivotArea type="data" outline="0" fieldPosition="0">
        <references count="2">
          <reference field="4294967294" count="1" selected="0">
            <x v="0"/>
          </reference>
          <reference field="0" count="1" selected="0">
            <x v="11"/>
          </reference>
        </references>
      </pivotArea>
    </chartFormat>
    <chartFormat chart="0" format="3">
      <pivotArea type="data" outline="0" fieldPosition="0">
        <references count="2">
          <reference field="4294967294" count="1" selected="0">
            <x v="0"/>
          </reference>
          <reference field="0" count="1" selected="0">
            <x v="19"/>
          </reference>
        </references>
      </pivotArea>
    </chartFormat>
    <chartFormat chart="0" format="4">
      <pivotArea type="data" outline="0" fieldPosition="0">
        <references count="2">
          <reference field="4294967294" count="1" selected="0">
            <x v="0"/>
          </reference>
          <reference field="0" count="1" selected="0">
            <x v="17"/>
          </reference>
        </references>
      </pivotArea>
    </chartFormat>
    <chartFormat chart="0" format="5">
      <pivotArea type="data" outline="0" fieldPosition="0">
        <references count="2">
          <reference field="4294967294" count="1" selected="0">
            <x v="0"/>
          </reference>
          <reference field="0" count="1" selected="0">
            <x v="18"/>
          </reference>
        </references>
      </pivotArea>
    </chartFormat>
    <chartFormat chart="0" format="6">
      <pivotArea type="data" outline="0" fieldPosition="0">
        <references count="2">
          <reference field="4294967294" count="1" selected="0">
            <x v="0"/>
          </reference>
          <reference field="0" count="1" selected="0">
            <x v="16"/>
          </reference>
        </references>
      </pivotArea>
    </chartFormat>
    <chartFormat chart="0" format="7">
      <pivotArea type="data" outline="0" fieldPosition="0">
        <references count="2">
          <reference field="4294967294" count="1" selected="0">
            <x v="0"/>
          </reference>
          <reference field="0" count="1" selected="0">
            <x v="14"/>
          </reference>
        </references>
      </pivotArea>
    </chartFormat>
    <chartFormat chart="0" format="8">
      <pivotArea type="data" outline="0" fieldPosition="0">
        <references count="2">
          <reference field="4294967294" count="1" selected="0">
            <x v="0"/>
          </reference>
          <reference field="0" count="1" selected="0">
            <x v="13"/>
          </reference>
        </references>
      </pivotArea>
    </chartFormat>
    <chartFormat chart="0" format="9">
      <pivotArea type="data" outline="0" fieldPosition="0">
        <references count="2">
          <reference field="4294967294" count="1" selected="0">
            <x v="0"/>
          </reference>
          <reference field="0" count="1" selected="0">
            <x v="10"/>
          </reference>
        </references>
      </pivotArea>
    </chartFormat>
    <chartFormat chart="0" format="10">
      <pivotArea type="data" outline="0" fieldPosition="0">
        <references count="2">
          <reference field="4294967294" count="1" selected="0">
            <x v="0"/>
          </reference>
          <reference field="0" count="1" selected="0">
            <x v="8"/>
          </reference>
        </references>
      </pivotArea>
    </chartFormat>
    <chartFormat chart="0" format="11">
      <pivotArea type="data" outline="0" fieldPosition="0">
        <references count="2">
          <reference field="4294967294" count="1" selected="0">
            <x v="0"/>
          </reference>
          <reference field="0" count="1" selected="0">
            <x v="9"/>
          </reference>
        </references>
      </pivotArea>
    </chartFormat>
    <chartFormat chart="0" format="12">
      <pivotArea type="data" outline="0" fieldPosition="0">
        <references count="2">
          <reference field="4294967294" count="1" selected="0">
            <x v="0"/>
          </reference>
          <reference field="0" count="1" selected="0">
            <x v="12"/>
          </reference>
        </references>
      </pivotArea>
    </chartFormat>
    <chartFormat chart="0" format="13">
      <pivotArea type="data" outline="0" fieldPosition="0">
        <references count="2">
          <reference field="4294967294" count="1" selected="0">
            <x v="0"/>
          </reference>
          <reference field="0" count="1" selected="0">
            <x v="2"/>
          </reference>
        </references>
      </pivotArea>
    </chartFormat>
    <chartFormat chart="0" format="14">
      <pivotArea type="data" outline="0" fieldPosition="0">
        <references count="2">
          <reference field="4294967294" count="1" selected="0">
            <x v="0"/>
          </reference>
          <reference field="0" count="1" selected="0">
            <x v="1"/>
          </reference>
        </references>
      </pivotArea>
    </chartFormat>
    <chartFormat chart="0" format="15">
      <pivotArea type="data" outline="0" fieldPosition="0">
        <references count="2">
          <reference field="4294967294" count="1" selected="0">
            <x v="0"/>
          </reference>
          <reference field="0" count="1" selected="0">
            <x v="0"/>
          </reference>
        </references>
      </pivotArea>
    </chartFormat>
    <chartFormat chart="0" format="16">
      <pivotArea type="data" outline="0" fieldPosition="0">
        <references count="2">
          <reference field="4294967294" count="1" selected="0">
            <x v="0"/>
          </reference>
          <reference field="0" count="1" selected="0">
            <x v="3"/>
          </reference>
        </references>
      </pivotArea>
    </chartFormat>
    <chartFormat chart="0" format="17">
      <pivotArea type="data" outline="0" fieldPosition="0">
        <references count="2">
          <reference field="4294967294" count="1" selected="0">
            <x v="0"/>
          </reference>
          <reference field="0" count="1" selected="0">
            <x v="4"/>
          </reference>
        </references>
      </pivotArea>
    </chartFormat>
    <chartFormat chart="0" format="18">
      <pivotArea type="data" outline="0" fieldPosition="0">
        <references count="2">
          <reference field="4294967294" count="1" selected="0">
            <x v="0"/>
          </reference>
          <reference field="0" count="1" selected="0">
            <x v="5"/>
          </reference>
        </references>
      </pivotArea>
    </chartFormat>
    <chartFormat chart="0" format="19">
      <pivotArea type="data" outline="0" fieldPosition="0">
        <references count="2">
          <reference field="4294967294" count="1" selected="0">
            <x v="0"/>
          </reference>
          <reference field="0" count="1" selected="0">
            <x v="6"/>
          </reference>
        </references>
      </pivotArea>
    </chartFormat>
    <chartFormat chart="0" format="20">
      <pivotArea type="data" outline="0" fieldPosition="0">
        <references count="2">
          <reference field="4294967294" count="1" selected="0">
            <x v="0"/>
          </reference>
          <reference field="0" count="1" selected="0">
            <x v="7"/>
          </reference>
        </references>
      </pivotArea>
    </chartFormat>
    <chartFormat chart="7" format="42" series="1">
      <pivotArea type="data" outline="0" fieldPosition="0">
        <references count="1">
          <reference field="4294967294" count="1" selected="0">
            <x v="0"/>
          </reference>
        </references>
      </pivotArea>
    </chartFormat>
    <chartFormat chart="7" format="43">
      <pivotArea type="data" outline="0" fieldPosition="0">
        <references count="2">
          <reference field="4294967294" count="1" selected="0">
            <x v="0"/>
          </reference>
          <reference field="0" count="1" selected="0">
            <x v="0"/>
          </reference>
        </references>
      </pivotArea>
    </chartFormat>
    <chartFormat chart="7" format="44">
      <pivotArea type="data" outline="0" fieldPosition="0">
        <references count="2">
          <reference field="4294967294" count="1" selected="0">
            <x v="0"/>
          </reference>
          <reference field="0" count="1" selected="0">
            <x v="1"/>
          </reference>
        </references>
      </pivotArea>
    </chartFormat>
    <chartFormat chart="7" format="45">
      <pivotArea type="data" outline="0" fieldPosition="0">
        <references count="2">
          <reference field="4294967294" count="1" selected="0">
            <x v="0"/>
          </reference>
          <reference field="0" count="1" selected="0">
            <x v="2"/>
          </reference>
        </references>
      </pivotArea>
    </chartFormat>
    <chartFormat chart="7" format="46">
      <pivotArea type="data" outline="0" fieldPosition="0">
        <references count="2">
          <reference field="4294967294" count="1" selected="0">
            <x v="0"/>
          </reference>
          <reference field="0" count="1" selected="0">
            <x v="3"/>
          </reference>
        </references>
      </pivotArea>
    </chartFormat>
    <chartFormat chart="7" format="47">
      <pivotArea type="data" outline="0" fieldPosition="0">
        <references count="2">
          <reference field="4294967294" count="1" selected="0">
            <x v="0"/>
          </reference>
          <reference field="0" count="1" selected="0">
            <x v="4"/>
          </reference>
        </references>
      </pivotArea>
    </chartFormat>
    <chartFormat chart="7" format="48">
      <pivotArea type="data" outline="0" fieldPosition="0">
        <references count="2">
          <reference field="4294967294" count="1" selected="0">
            <x v="0"/>
          </reference>
          <reference field="0" count="1" selected="0">
            <x v="5"/>
          </reference>
        </references>
      </pivotArea>
    </chartFormat>
    <chartFormat chart="7" format="49">
      <pivotArea type="data" outline="0" fieldPosition="0">
        <references count="2">
          <reference field="4294967294" count="1" selected="0">
            <x v="0"/>
          </reference>
          <reference field="0" count="1" selected="0">
            <x v="6"/>
          </reference>
        </references>
      </pivotArea>
    </chartFormat>
    <chartFormat chart="7" format="50">
      <pivotArea type="data" outline="0" fieldPosition="0">
        <references count="2">
          <reference field="4294967294" count="1" selected="0">
            <x v="0"/>
          </reference>
          <reference field="0" count="1" selected="0">
            <x v="7"/>
          </reference>
        </references>
      </pivotArea>
    </chartFormat>
    <chartFormat chart="7" format="51">
      <pivotArea type="data" outline="0" fieldPosition="0">
        <references count="2">
          <reference field="4294967294" count="1" selected="0">
            <x v="0"/>
          </reference>
          <reference field="0" count="1" selected="0">
            <x v="8"/>
          </reference>
        </references>
      </pivotArea>
    </chartFormat>
    <chartFormat chart="7" format="52">
      <pivotArea type="data" outline="0" fieldPosition="0">
        <references count="2">
          <reference field="4294967294" count="1" selected="0">
            <x v="0"/>
          </reference>
          <reference field="0" count="1" selected="0">
            <x v="9"/>
          </reference>
        </references>
      </pivotArea>
    </chartFormat>
    <chartFormat chart="7" format="53">
      <pivotArea type="data" outline="0" fieldPosition="0">
        <references count="2">
          <reference field="4294967294" count="1" selected="0">
            <x v="0"/>
          </reference>
          <reference field="0" count="1" selected="0">
            <x v="10"/>
          </reference>
        </references>
      </pivotArea>
    </chartFormat>
    <chartFormat chart="7" format="54">
      <pivotArea type="data" outline="0" fieldPosition="0">
        <references count="2">
          <reference field="4294967294" count="1" selected="0">
            <x v="0"/>
          </reference>
          <reference field="0" count="1" selected="0">
            <x v="11"/>
          </reference>
        </references>
      </pivotArea>
    </chartFormat>
    <chartFormat chart="7" format="55">
      <pivotArea type="data" outline="0" fieldPosition="0">
        <references count="2">
          <reference field="4294967294" count="1" selected="0">
            <x v="0"/>
          </reference>
          <reference field="0" count="1" selected="0">
            <x v="12"/>
          </reference>
        </references>
      </pivotArea>
    </chartFormat>
    <chartFormat chart="7" format="56">
      <pivotArea type="data" outline="0" fieldPosition="0">
        <references count="2">
          <reference field="4294967294" count="1" selected="0">
            <x v="0"/>
          </reference>
          <reference field="0" count="1" selected="0">
            <x v="13"/>
          </reference>
        </references>
      </pivotArea>
    </chartFormat>
    <chartFormat chart="7" format="57">
      <pivotArea type="data" outline="0" fieldPosition="0">
        <references count="2">
          <reference field="4294967294" count="1" selected="0">
            <x v="0"/>
          </reference>
          <reference field="0" count="1" selected="0">
            <x v="14"/>
          </reference>
        </references>
      </pivotArea>
    </chartFormat>
    <chartFormat chart="7" format="58">
      <pivotArea type="data" outline="0" fieldPosition="0">
        <references count="2">
          <reference field="4294967294" count="1" selected="0">
            <x v="0"/>
          </reference>
          <reference field="0" count="1" selected="0">
            <x v="15"/>
          </reference>
        </references>
      </pivotArea>
    </chartFormat>
    <chartFormat chart="7" format="59">
      <pivotArea type="data" outline="0" fieldPosition="0">
        <references count="2">
          <reference field="4294967294" count="1" selected="0">
            <x v="0"/>
          </reference>
          <reference field="0" count="1" selected="0">
            <x v="16"/>
          </reference>
        </references>
      </pivotArea>
    </chartFormat>
    <chartFormat chart="7" format="60">
      <pivotArea type="data" outline="0" fieldPosition="0">
        <references count="2">
          <reference field="4294967294" count="1" selected="0">
            <x v="0"/>
          </reference>
          <reference field="0" count="1" selected="0">
            <x v="17"/>
          </reference>
        </references>
      </pivotArea>
    </chartFormat>
    <chartFormat chart="7" format="61">
      <pivotArea type="data" outline="0" fieldPosition="0">
        <references count="2">
          <reference field="4294967294" count="1" selected="0">
            <x v="0"/>
          </reference>
          <reference field="0" count="1" selected="0">
            <x v="18"/>
          </reference>
        </references>
      </pivotArea>
    </chartFormat>
    <chartFormat chart="7" format="62">
      <pivotArea type="data" outline="0" fieldPosition="0">
        <references count="2">
          <reference field="4294967294" count="1" selected="0">
            <x v="0"/>
          </reference>
          <reference field="0" count="1" selected="0">
            <x v="1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EEF336-3D2C-487A-BF01-5F40331939F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G3:H8" firstHeaderRow="1" firstDataRow="1" firstDataCol="1"/>
  <pivotFields count="6">
    <pivotField numFmtId="164" showAll="0"/>
    <pivotField showAll="0">
      <items count="4">
        <item x="1"/>
        <item x="2"/>
        <item x="0"/>
        <item t="default"/>
      </items>
    </pivotField>
    <pivotField axis="axisRow" showAll="0">
      <items count="5">
        <item x="3"/>
        <item x="0"/>
        <item x="1"/>
        <item x="2"/>
        <item t="default"/>
      </items>
    </pivotField>
    <pivotField showAll="0">
      <items count="4">
        <item x="0"/>
        <item x="1"/>
        <item x="2"/>
        <item t="default"/>
      </items>
    </pivotField>
    <pivotField showAll="0"/>
    <pivotField dataField="1" numFmtId="165" showAll="0"/>
  </pivotFields>
  <rowFields count="1">
    <field x="2"/>
  </rowFields>
  <rowItems count="5">
    <i>
      <x/>
    </i>
    <i>
      <x v="1"/>
    </i>
    <i>
      <x v="2"/>
    </i>
    <i>
      <x v="3"/>
    </i>
    <i t="grand">
      <x/>
    </i>
  </rowItems>
  <colItems count="1">
    <i/>
  </colItems>
  <dataFields count="1">
    <dataField name="Sum of Revenue" fld="5" baseField="0" baseItem="0" numFmtId="166"/>
  </dataFields>
  <formats count="1">
    <format dxfId="3">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2" count="1" selected="0">
            <x v="0"/>
          </reference>
        </references>
      </pivotArea>
    </chartFormat>
    <chartFormat chart="13" format="8">
      <pivotArea type="data" outline="0" fieldPosition="0">
        <references count="2">
          <reference field="4294967294" count="1" selected="0">
            <x v="0"/>
          </reference>
          <reference field="2" count="1" selected="0">
            <x v="1"/>
          </reference>
        </references>
      </pivotArea>
    </chartFormat>
    <chartFormat chart="13" format="9">
      <pivotArea type="data" outline="0" fieldPosition="0">
        <references count="2">
          <reference field="4294967294" count="1" selected="0">
            <x v="0"/>
          </reference>
          <reference field="2" count="1" selected="0">
            <x v="2"/>
          </reference>
        </references>
      </pivotArea>
    </chartFormat>
    <chartFormat chart="13" format="10">
      <pivotArea type="data" outline="0" fieldPosition="0">
        <references count="2">
          <reference field="4294967294" count="1" selected="0">
            <x v="0"/>
          </reference>
          <reference field="2" count="1" selected="0">
            <x v="3"/>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D0FB372-6F87-495C-B056-A383167A45A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C15" firstHeaderRow="1" firstDataRow="1" firstDataCol="1"/>
  <pivotFields count="6">
    <pivotField numFmtId="164" showAll="0"/>
    <pivotField showAll="0"/>
    <pivotField showAll="0"/>
    <pivotField showAll="0"/>
    <pivotField axis="axisRow" showAll="0">
      <items count="13">
        <item x="3"/>
        <item x="6"/>
        <item x="1"/>
        <item x="9"/>
        <item x="4"/>
        <item x="7"/>
        <item x="0"/>
        <item x="5"/>
        <item x="8"/>
        <item x="2"/>
        <item x="10"/>
        <item x="11"/>
        <item t="default"/>
      </items>
    </pivotField>
    <pivotField dataField="1" numFmtId="165" showAll="0"/>
  </pivotFields>
  <rowFields count="1">
    <field x="4"/>
  </rowFields>
  <rowItems count="13">
    <i>
      <x/>
    </i>
    <i>
      <x v="1"/>
    </i>
    <i>
      <x v="2"/>
    </i>
    <i>
      <x v="3"/>
    </i>
    <i>
      <x v="4"/>
    </i>
    <i>
      <x v="5"/>
    </i>
    <i>
      <x v="6"/>
    </i>
    <i>
      <x v="7"/>
    </i>
    <i>
      <x v="8"/>
    </i>
    <i>
      <x v="9"/>
    </i>
    <i>
      <x v="10"/>
    </i>
    <i>
      <x v="11"/>
    </i>
    <i t="grand">
      <x/>
    </i>
  </rowItems>
  <colItems count="1">
    <i/>
  </colItems>
  <dataFields count="1">
    <dataField name="Sum of Revenue" fld="5"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7248781C-0678-4EB4-9704-43643397777E}" sourceName="Salesperson">
  <pivotTables>
    <pivotTable tabId="3" name="PivotTable4"/>
    <pivotTable tabId="3" name="PivotTable1"/>
    <pivotTable tabId="3" name="PivotTable3"/>
  </pivotTables>
  <data>
    <tabular pivotCacheId="1968403228">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7D12C25-7055-4FD7-841E-2A4EDE392C70}" sourceName="Region">
  <pivotTables>
    <pivotTable tabId="3" name="PivotTable4"/>
    <pivotTable tabId="3" name="PivotTable1"/>
    <pivotTable tabId="3" name="PivotTable3"/>
  </pivotTables>
  <data>
    <tabular pivotCacheId="1968403228">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FB9A80D-E4B2-4AFB-B702-32D0D106C770}" sourceName="Product">
  <pivotTables>
    <pivotTable tabId="3" name="PivotTable4"/>
    <pivotTable tabId="3" name="PivotTable1"/>
    <pivotTable tabId="3" name="PivotTable3"/>
  </pivotTables>
  <data>
    <tabular pivotCacheId="1968403228">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9753888B-8F01-4479-81B3-A2F6B4D4E7A7}" cache="Slicer_Salesperson" caption="Salesperson" rowHeight="241300"/>
  <slicer name="Region" xr10:uid="{13B6B3BD-B9F2-4173-A1C9-19BAA6F8448F}" cache="Slicer_Region" caption="Region" rowHeight="241300"/>
  <slicer name="Product" xr10:uid="{A4BF5F92-1351-46EC-BC0B-242B43BA2038}" cache="Slicer_Product" caption="Produc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3A0A45-DB8C-4D21-9749-EC313F431E89}" name="Table1" displayName="Table1" ref="A1:E26" totalsRowShown="0" headerRowDxfId="8">
  <autoFilter ref="A1:E26" xr:uid="{2E3A0A45-DB8C-4D21-9749-EC313F431E89}"/>
  <tableColumns count="5">
    <tableColumn id="1" xr3:uid="{B4924876-01F1-4095-9D3B-3E33DFB5D18E}" name="Date" dataDxfId="7"/>
    <tableColumn id="2" xr3:uid="{0F9D9F65-BE2A-4600-B19D-AEF084CF0CF4}" name="Revenue"/>
    <tableColumn id="3" xr3:uid="{F73E4B16-56E8-4B93-99BB-C4B3CF66EC62}" name="Forecast(Revenue)" dataDxfId="6">
      <calculatedColumnFormula>_xlfn.FORECAST.ETS(A2,$B$2:$B$21,$A$2:$A$21,1,1)</calculatedColumnFormula>
    </tableColumn>
    <tableColumn id="4" xr3:uid="{B46DFC12-CBA1-46F5-B4B2-8C91E7634249}" name="Lower Confidence Bound(Revenue)" dataDxfId="5">
      <calculatedColumnFormula>C2-_xlfn.FORECAST.ETS.CONFINT(A2,$B$2:$B$21,$A$2:$A$21,0.95,1,1)</calculatedColumnFormula>
    </tableColumn>
    <tableColumn id="5" xr3:uid="{4EC7AED6-8F97-411E-B421-507F65EACC1D}" name="Upper Confidence Bound(Revenue)" dataDxfId="4">
      <calculatedColumnFormula>C2+_xlfn.FORECAST.ETS.CONFINT(A2,$B$2:$B$21,$A$2:$A$21,0.95,1,1)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3F8168A-3F99-49E1-8C0D-8B9E6E10631A}">
  <we:reference id="wa200010884" version="1.0.0.2" store="en-US" storeType="OMEX"/>
  <we:alternateReferences>
    <we:reference id="wa200010884" version="1.0.0.2" store="wa200010884"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_xldudf_STAT_ACF</we:customFunctionIds>
        <we:customFunctionIds>_xldudf_STAT_ACOVF</we:customFunctionIds>
        <we:customFunctionIds>_xldudf_STAT_ADFULLER</we:customFunctionIds>
        <we:customFunctionIds>_xldudf_STAT_ALEXANDERGOVERN</we:customFunctionIds>
        <we:customFunctionIds>_xldudf_STAT_ANDERSON_KSAMP</we:customFunctionIds>
        <we:customFunctionIds>_xldudf_STAT_ANOVA</we:customFunctionIds>
        <we:customFunctionIds>_xldudf_STAT_ANSARI</we:customFunctionIds>
        <we:customFunctionIds>_xldudf_STAT_ARIMA_FORECAST</we:customFunctionIds>
        <we:customFunctionIds>_xldudf_STAT_ARMA_ORDER_IC</we:customFunctionIds>
        <we:customFunctionIds>_xldudf_STAT_BARNARD_EXACT</we:customFunctionIds>
        <we:customFunctionIds>_xldudf_STAT_BARTLETT</we:customFunctionIds>
        <we:customFunctionIds>_xldudf_STAT_BAYES_MVS_CI</we:customFunctionIds>
        <we:customFunctionIds>_xldudf_STAT_BB_LOGBETA</we:customFunctionIds>
        <we:customFunctionIds>_xldudf_STAT_BB_POST_UPDATE</we:customFunctionIds>
        <we:customFunctionIds>_xldudf_STAT_BB_QBETA</we:customFunctionIds>
        <we:customFunctionIds>_xldudf_STAT_BERNOULLI</we:customFunctionIds>
        <we:customFunctionIds>_xldudf_STAT_BETA</we:customFunctionIds>
        <we:customFunctionIds>_xldudf_STAT_BETA_CI_BOUNDS</we:customFunctionIds>
        <we:customFunctionIds>_xldudf_STAT_BETABINOM</we:customFunctionIds>
        <we:customFunctionIds>_xldudf_STAT_BETANBINOM</we:customFunctionIds>
        <we:customFunctionIds>_xldudf_STAT_BINNED_STATISTIC</we:customFunctionIds>
        <we:customFunctionIds>_xldudf_STAT_BINNED_STATISTIC_2D</we:customFunctionIds>
        <we:customFunctionIds>_xldudf_STAT_BINOM</we:customFunctionIds>
        <we:customFunctionIds>_xldudf_STAT_BINOMTEST</we:customFunctionIds>
        <we:customFunctionIds>_xldudf_STAT_BOLTZMANN</we:customFunctionIds>
        <we:customFunctionIds>_xldudf_STAT_BOSCHLOO_EXACT</we:customFunctionIds>
        <we:customFunctionIds>_xldudf_STAT_BRUNNERMUNZEL</we:customFunctionIds>
        <we:customFunctionIds>_xldudf_STAT_BWS_TEST</we:customFunctionIds>
        <we:customFunctionIds>_xldudf_STAT_CANCORR</we:customFunctionIds>
        <we:customFunctionIds>_xldudf_STAT_CAUCHY</we:customFunctionIds>
        <we:customFunctionIds>_xldudf_STAT_CCF</we:customFunctionIds>
        <we:customFunctionIds>_xldudf_STAT_CCOVF</we:customFunctionIds>
        <we:customFunctionIds>_xldudf_STAT_CHI2_CONTINGENCY</we:customFunctionIds>
        <we:customFunctionIds>_xldudf_STAT_CHISQ</we:customFunctionIds>
        <we:customFunctionIds>_xldudf_STAT_COX_HAZARDS</we:customFunctionIds>
        <we:customFunctionIds>_xldudf_STAT_CRONBACH_ALPHA</we:customFunctionIds>
        <we:customFunctionIds>_xldudf_STAT_CUMFREQ</we:customFunctionIds>
        <we:customFunctionIds>_xldudf_STAT_CVM_2SAMP</we:customFunctionIds>
        <we:customFunctionIds>_xldudf_STAT_DESCRIBE</we:customFunctionIds>
        <we:customFunctionIds>_xldudf_STAT_DETREND</we:customFunctionIds>
        <we:customFunctionIds>_xldudf_STAT_DIRICHLET</we:customFunctionIds>
        <we:customFunctionIds>_xldudf_STAT_DIRICHLET_MULTINOM</we:customFunctionIds>
        <we:customFunctionIds>_xldudf_STAT_DISTANCE_CORR</we:customFunctionIds>
        <we:customFunctionIds>_xldudf_STAT_DLAPLACE</we:customFunctionIds>
        <we:customFunctionIds>_xldudf_STAT_DM_CRED_INT</we:customFunctionIds>
        <we:customFunctionIds>_xldudf_STAT_DM_DIRICHLET_SUM</we:customFunctionIds>
        <we:customFunctionIds>_xldudf_STAT_DM_LOGBETA</we:customFunctionIds>
        <we:customFunctionIds>_xldudf_STAT_DM_LOGSUM_NORM</we:customFunctionIds>
        <we:customFunctionIds>_xldudf_STAT_DM_POST_UPDATE</we:customFunctionIds>
        <we:customFunctionIds>_xldudf_STAT_DM_PREDICTIVE</we:customFunctionIds>
        <we:customFunctionIds>_xldudf_STAT_DUNNETT</we:customFunctionIds>
        <we:customFunctionIds>_xldudf_STAT_EMA_LFILTER</we:customFunctionIds>
        <we:customFunctionIds>_xldudf_STAT_EMA_PERIOD</we:customFunctionIds>
        <we:customFunctionIds>_xldudf_STAT_EPPS_SINGLE_2SAMP</we:customFunctionIds>
        <we:customFunctionIds>_xldudf_STAT_EXP_SURVIVAL_REG</we:customFunctionIds>
        <we:customFunctionIds>_xldudf_STAT_EXPECTILE</we:customFunctionIds>
        <we:customFunctionIds>_xldudf_STAT_EXPON</we:customFunctionIds>
        <we:customFunctionIds>_xldudf_STAT_F_DIST</we:customFunctionIds>
        <we:customFunctionIds>_xldudf_STAT_F_ONEWAY</we:customFunctionIds>
        <we:customFunctionIds>_xldudf_STAT_FACTOR_ANALYSIS</we:customFunctionIds>
        <we:customFunctionIds>_xldudf_STAT_FISHER_EXACT</we:customFunctionIds>
        <we:customFunctionIds>_xldudf_STAT_FLIGNER</we:customFunctionIds>
        <we:customFunctionIds>_xldudf_STAT_FRIEDMANCHISQUARE</we:customFunctionIds>
        <we:customFunctionIds>_xldudf_STAT_GAMESHOWELL</we:customFunctionIds>
        <we:customFunctionIds>_xldudf_STAT_GAMMA_CI_BOUNDS</we:customFunctionIds>
        <we:customFunctionIds>_xldudf_STAT_GAMMA_POST_Q</we:customFunctionIds>
        <we:customFunctionIds>_xldudf_STAT_GEE_MODEL</we:customFunctionIds>
        <we:customFunctionIds>_xldudf_STAT_GEOM</we:customFunctionIds>
        <we:customFunctionIds>_xldudf_STAT_GLM_BINOMIAL</we:customFunctionIds>
        <we:customFunctionIds>_xldudf_STAT_GLM_GAMMA</we:customFunctionIds>
        <we:customFunctionIds>_xldudf_STAT_GLM_INV_GAUSS</we:customFunctionIds>
        <we:customFunctionIds>_xldudf_STAT_GLM_NEG_BINOM</we:customFunctionIds>
        <we:customFunctionIds>_xldudf_STAT_GLM_POISSON</we:customFunctionIds>
        <we:customFunctionIds>_xldudf_STAT_GLM_TWEEDIE</we:customFunctionIds>
        <we:customFunctionIds>_xldudf_STAT_GLMM_BINOMIAL</we:customFunctionIds>
        <we:customFunctionIds>_xldudf_STAT_GLMM_POISSON</we:customFunctionIds>
        <we:customFunctionIds>_xldudf_STAT_GLS_REGRESSION</we:customFunctionIds>
        <we:customFunctionIds>_xldudf_STAT_GMEAN</we:customFunctionIds>
        <we:customFunctionIds>_xldudf_STAT_HANNAN_RISSANEN</we:customFunctionIds>
        <we:customFunctionIds>_xldudf_STAT_HMEAN</we:customFunctionIds>
        <we:customFunctionIds>_xldudf_STAT_HOLT_FORECAST</we:customFunctionIds>
        <we:customFunctionIds>_xldudf_STAT_HOMOSCEDASTICITY</we:customFunctionIds>
        <we:customFunctionIds>_xldudf_STAT_HURDLE_COUNT_MODEL</we:customFunctionIds>
        <we:customFunctionIds>_xldudf_STAT_HW_FORECAST</we:customFunctionIds>
        <we:customFunctionIds>_xldudf_STAT_HYPERGEOM</we:customFunctionIds>
        <we:customFunctionIds>_xldudf_STAT_INFLUENCE_DIAG</we:customFunctionIds>
        <we:customFunctionIds>_xldudf_STAT_INNOVATIONS_MLE</we:customFunctionIds>
        <we:customFunctionIds>_xldudf_STAT_INVGAMMA_CI_BOUNDS</we:customFunctionIds>
        <we:customFunctionIds>_xldudf_STAT_INVGAMMA_POST_Q</we:customFunctionIds>
        <we:customFunctionIds>_xldudf_STAT_JARQUE_BERA</we:customFunctionIds>
        <we:customFunctionIds>_xldudf_STAT_KAPLAN_MEIER</we:customFunctionIds>
        <we:customFunctionIds>_xldudf_STAT_KENDALLTAU</we:customFunctionIds>
        <we:customFunctionIds>_xldudf_STAT_KPSS</we:customFunctionIds>
        <we:customFunctionIds>_xldudf_STAT_KRUSKAL</we:customFunctionIds>
        <we:customFunctionIds>_xldudf_STAT_KS_2SAMP</we:customFunctionIds>
        <we:customFunctionIds>_xldudf_STAT_KSTEST</we:customFunctionIds>
        <we:customFunctionIds>_xldudf_STAT_KURTOSIS</we:customFunctionIds>
        <we:customFunctionIds>_xldudf_STAT_KURTOSISTEST</we:customFunctionIds>
        <we:customFunctionIds>_xldudf_STAT_LAPLACE</we:customFunctionIds>
        <we:customFunctionIds>_xldudf_STAT_LEVENE</we:customFunctionIds>
        <we:customFunctionIds>_xldudf_STAT_LINREGRESS</we:customFunctionIds>
        <we:customFunctionIds>_xldudf_STAT_LOGIT_MODEL</we:customFunctionIds>
        <we:customFunctionIds>_xldudf_STAT_LOGNORM</we:customFunctionIds>
        <we:customFunctionIds>_xldudf_STAT_LOGSER</we:customFunctionIds>
        <we:customFunctionIds>_xldudf_STAT_MANNWHITNEYU</we:customFunctionIds>
        <we:customFunctionIds>_xldudf_STAT_MANOVA_TEST</we:customFunctionIds>
        <we:customFunctionIds>_xldudf_STAT_MATRIX_NORMAL</we:customFunctionIds>
        <we:customFunctionIds>_xldudf_STAT_MEDIAN_TEST</we:customFunctionIds>
        <we:customFunctionIds>_xldudf_STAT_MEDIATION_ANALYSIS</we:customFunctionIds>
        <we:customFunctionIds>_xldudf_STAT_MIXED_ANOVA</we:customFunctionIds>
        <we:customFunctionIds>_xldudf_STAT_MIXED_LINEAR_MODEL</we:customFunctionIds>
        <we:customFunctionIds>_xldudf_STAT_MODE</we:customFunctionIds>
        <we:customFunctionIds>_xldudf_STAT_MOMENT</we:customFunctionIds>
        <we:customFunctionIds>_xldudf_STAT_MOOD</we:customFunctionIds>
        <we:customFunctionIds>_xldudf_STAT_MSTL</we:customFunctionIds>
        <we:customFunctionIds>_xldudf_STAT_MULTINOMIAL</we:customFunctionIds>
        <we:customFunctionIds>_xldudf_STAT_MULTINOMIAL_LOGIT</we:customFunctionIds>
        <we:customFunctionIds>_xldudf_STAT_MULTISCALE_GRAPH</we:customFunctionIds>
        <we:customFunctionIds>_xldudf_STAT_MULTIVARIATE_NORMAL</we:customFunctionIds>
        <we:customFunctionIds>_xldudf_STAT_MULTIVARIATE_T</we:customFunctionIds>
        <we:customFunctionIds>_xldudf_STAT_MV_HYPERGEOM</we:customFunctionIds>
        <we:customFunctionIds>_xldudf_STAT_MVSDIST_CI</we:customFunctionIds>
        <we:customFunctionIds>_xldudf_STAT_NBINOM</we:customFunctionIds>
        <we:customFunctionIds>_xldudf_STAT_NHYPERGEOM</we:customFunctionIds>
        <we:customFunctionIds>_xldudf_STAT_NIG_POST_UPDATE</we:customFunctionIds>
        <we:customFunctionIds>_xldudf_STAT_NN_POST_UPDATE</we:customFunctionIds>
        <we:customFunctionIds>_xldudf_STAT_NORM</we:customFunctionIds>
        <we:customFunctionIds>_xldudf_STAT_NORMALITY</we:customFunctionIds>
        <we:customFunctionIds>_xldudf_STAT_NORMALTEST</we:customFunctionIds>
        <we:customFunctionIds>_xldudf_STAT_OLS_DIAGNOSTICS</we:customFunctionIds>
        <we:customFunctionIds>_xldudf_STAT_OLS_REGRESSION</we:customFunctionIds>
        <we:customFunctionIds>_xldudf_STAT_ORDERED_LOGIT</we:customFunctionIds>
        <we:customFunctionIds>_xldudf_STAT_ORTHO_GROUP</we:customFunctionIds>
        <we:customFunctionIds>_xldudf_STAT_PACF</we:customFunctionIds>
        <we:customFunctionIds>_xldudf_STAT_PAGE_TREND_TEST</we:customFunctionIds>
        <we:customFunctionIds>_xldudf_STAT_PAIRWISE_TUKEY</we:customFunctionIds>
        <we:customFunctionIds>_xldudf_STAT_PARETO</we:customFunctionIds>
        <we:customFunctionIds>_xldudf_STAT_PARTIAL_CORR</we:customFunctionIds>
        <we:customFunctionIds>_xldudf_STAT_PCA_ANALYSIS</we:customFunctionIds>
        <we:customFunctionIds>_xldudf_STAT_PEARSONR</we:customFunctionIds>
        <we:customFunctionIds>_xldudf_STAT_PERCENTILEOFSCORE</we:customFunctionIds>
        <we:customFunctionIds>_xldudf_STAT_PERIODOGRAM</we:customFunctionIds>
        <we:customFunctionIds>_xldudf_STAT_PLANCK</we:customFunctionIds>
        <we:customFunctionIds>_xldudf_STAT_PMEAN</we:customFunctionIds>
        <we:customFunctionIds>_xldudf_STAT_POINTBISERIALR</we:customFunctionIds>
        <we:customFunctionIds>_xldudf_STAT_POISSON_DIST</we:customFunctionIds>
        <we:customFunctionIds>_xldudf_STAT_POISSON_MEANS_TEST</we:customFunctionIds>
        <we:customFunctionIds>_xldudf_STAT_POSTERIOR_BMV</we:customFunctionIds>
        <we:customFunctionIds>_xldudf_STAT_POSTERIOR_ENTROPY</we:customFunctionIds>
        <we:customFunctionIds>_xldudf_STAT_POSTERIOR_LOGSUMEXP</we:customFunctionIds>
        <we:customFunctionIds>_xldudf_STAT_POSTERIOR_MAP</we:customFunctionIds>
        <we:customFunctionIds>_xldudf_STAT_POSTERIOR_TAILPROB</we:customFunctionIds>
        <we:customFunctionIds>_xldudf_STAT_POSTERIOR_WMEANVAR</we:customFunctionIds>
        <we:customFunctionIds>_xldudf_STAT_POSTERIOR_XLOGY</we:customFunctionIds>
        <we:customFunctionIds>_xldudf_STAT_PROBIT_MODEL</we:customFunctionIds>
        <we:customFunctionIds>_xldudf_STAT_Q_STAT</we:customFunctionIds>
        <we:customFunctionIds>_xldudf_STAT_QUANTILE_REGRESSION</we:customFunctionIds>
        <we:customFunctionIds>_xldudf_STAT_QUANTILE_TEST</we:customFunctionIds>
        <we:customFunctionIds>_xldudf_STAT_RANDINT</we:customFunctionIds>
        <we:customFunctionIds>_xldudf_STAT_RANDOM_CORRELATION</we:customFunctionIds>
        <we:customFunctionIds>_xldudf_STAT_RANKSUMS</we:customFunctionIds>
        <we:customFunctionIds>_xldudf_STAT_REGRESS_DIAG</we:customFunctionIds>
        <we:customFunctionIds>_xldudf_STAT_RELFREQ</we:customFunctionIds>
        <we:customFunctionIds>_xldudf_STAT_RM_ANOVA</we:customFunctionIds>
        <we:customFunctionIds>_xldudf_STAT_ROBUST_LINEAR_MODEL</we:customFunctionIds>
        <we:customFunctionIds>_xldudf_STAT_RURTEST</we:customFunctionIds>
        <we:customFunctionIds>_xldudf_STAT_SAMPLE_EQTAIL_CI</we:customFunctionIds>
        <we:customFunctionIds>_xldudf_STAT_SAMPLE_HPD_CI</we:customFunctionIds>
        <we:customFunctionIds>_xldudf_STAT_SARIMAX_FORECAST</we:customFunctionIds>
        <we:customFunctionIds>_xldudf_STAT_SCOREATPERCENTILE</we:customFunctionIds>
        <we:customFunctionIds>_xldudf_STAT_SEASDECOMP</we:customFunctionIds>
        <we:customFunctionIds>_xldudf_STAT_SES_FORECAST</we:customFunctionIds>
        <we:customFunctionIds>_xldudf_STAT_SHAPIRO</we:customFunctionIds>
        <we:customFunctionIds>_xldudf_STAT_SIEGELSLOPES</we:customFunctionIds>
        <we:customFunctionIds>_xldudf_STAT_SKELLAM</we:customFunctionIds>
        <we:customFunctionIds>_xldudf_STAT_SKEWNESS</we:customFunctionIds>
        <we:customFunctionIds>_xldudf_STAT_SKEWTEST</we:customFunctionIds>
        <we:customFunctionIds>_xldudf_STAT_SMA_CONV</we:customFunctionIds>
        <we:customFunctionIds>_xldudf_STAT_SMA_CUMSUM</we:customFunctionIds>
        <we:customFunctionIds>_xldudf_STAT_SOMERSD</we:customFunctionIds>
        <we:customFunctionIds>_xldudf_STAT_SPEARMANR</we:customFunctionIds>
        <we:customFunctionIds>_xldudf_STAT_SPECIAL_ORTHO_GROUP</we:customFunctionIds>
        <we:customFunctionIds>_xldudf_STAT_SPECIFICATION_TESTS</we:customFunctionIds>
        <we:customFunctionIds>_xldudf_STAT_STL</we:customFunctionIds>
        <we:customFunctionIds>_xldudf_STAT_T_DIST</we:customFunctionIds>
        <we:customFunctionIds>_xldudf_STAT_THEILSLOPES</we:customFunctionIds>
        <we:customFunctionIds>_xldudf_STAT_TTEST_1SAMP</we:customFunctionIds>
        <we:customFunctionIds>_xldudf_STAT_TTEST_IND</we:customFunctionIds>
        <we:customFunctionIds>_xldudf_STAT_TTEST_IND_STATS</we:customFunctionIds>
        <we:customFunctionIds>_xldudf_STAT_UNIFORM</we:customFunctionIds>
        <we:customFunctionIds>_xldudf_STAT_UNIFORM_DIRECTION</we:customFunctionIds>
        <we:customFunctionIds>_xldudf_STAT_UNITARY_GROUP</we:customFunctionIds>
        <we:customFunctionIds>_xldudf_STAT_VAL_DISCRETE</we:customFunctionIds>
        <we:customFunctionIds>_xldudf_STAT_VONMISES_FISHER</we:customFunctionIds>
        <we:customFunctionIds>_xldudf_STAT_WEIBULL_MIN</we:customFunctionIds>
        <we:customFunctionIds>_xldudf_STAT_WEIGHTEDTAU</we:customFunctionIds>
        <we:customFunctionIds>_xldudf_STAT_WELCH</we:customFunctionIds>
        <we:customFunctionIds>_xldudf_STAT_WELCH_ANOVA</we:customFunctionIds>
        <we:customFunctionIds>_xldudf_STAT_WINMA_CONV</we:customFunctionIds>
        <we:customFunctionIds>_xldudf_STAT_WISHART</we:customFunctionIds>
        <we:customFunctionIds>_xldudf_STAT_WLS_REGRESSION</we:customFunctionIds>
        <we:customFunctionIds>_xldudf_STAT_WMA</we:customFunctionIds>
        <we:customFunctionIds>_xldudf_STAT_YULESIMON</we:customFunctionIds>
        <we:customFunctionIds>_xldudf_STAT_ZINB_MODEL</we:customFunctionIds>
        <we:customFunctionIds>_xldudf_STAT_ZIP_MODEL</we:customFunctionIds>
        <we:customFunctionIds>_xldudf_STAT_ZIPF</we:customFunctionIds>
        <we:customFunctionIds>_xldudf_STAT_ZIPFIAN</we:customFunctionIds>
        <we:customFunctionIds>_xldudf_STAT_ZIVOT_ANDREWS</we:customFunctionIds>
      </we:customFunctionIdList>
    </a:ext>
  </we:extLst>
</we:webextension>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L22"/>
  <sheetViews>
    <sheetView tabSelected="1" workbookViewId="0">
      <selection activeCell="B2" sqref="B2:L2"/>
    </sheetView>
  </sheetViews>
  <sheetFormatPr defaultRowHeight="14.5"/>
  <sheetData>
    <row r="2" spans="2:12" ht="32" customHeight="1">
      <c r="B2" s="27" t="s">
        <v>0</v>
      </c>
      <c r="C2" s="27"/>
      <c r="D2" s="27"/>
      <c r="E2" s="27"/>
      <c r="F2" s="27"/>
      <c r="G2" s="27"/>
      <c r="H2" s="27"/>
      <c r="I2" s="27"/>
      <c r="J2" s="27"/>
      <c r="K2" s="27"/>
      <c r="L2" s="27"/>
    </row>
    <row r="5" spans="2:12" ht="15.5">
      <c r="B5" s="5" t="s">
        <v>17</v>
      </c>
      <c r="C5" s="6"/>
    </row>
    <row r="6" spans="2:12" ht="15.5">
      <c r="B6" s="10" t="s">
        <v>19</v>
      </c>
      <c r="C6" s="9"/>
    </row>
    <row r="7" spans="2:12" ht="15.5">
      <c r="B7" s="10" t="s">
        <v>20</v>
      </c>
      <c r="C7" s="6"/>
    </row>
    <row r="8" spans="2:12" ht="15.5">
      <c r="B8" s="10" t="s">
        <v>21</v>
      </c>
      <c r="C8" s="6"/>
    </row>
    <row r="9" spans="2:12" ht="15.5">
      <c r="B9" s="10" t="s">
        <v>22</v>
      </c>
      <c r="C9" s="6"/>
    </row>
    <row r="11" spans="2:12" ht="15">
      <c r="B11" s="5" t="s">
        <v>23</v>
      </c>
    </row>
    <row r="12" spans="2:12" ht="15.5">
      <c r="B12" s="10" t="s">
        <v>26</v>
      </c>
      <c r="C12" s="8"/>
    </row>
    <row r="13" spans="2:12" ht="15.5">
      <c r="B13" s="10" t="s">
        <v>27</v>
      </c>
    </row>
    <row r="14" spans="2:12" ht="15.5">
      <c r="B14" s="6"/>
    </row>
    <row r="15" spans="2:12" ht="15">
      <c r="B15" s="5" t="s">
        <v>24</v>
      </c>
    </row>
    <row r="16" spans="2:12" ht="15.5">
      <c r="B16" s="10" t="s">
        <v>28</v>
      </c>
    </row>
    <row r="17" spans="2:2" ht="15.5">
      <c r="B17" s="10" t="s">
        <v>29</v>
      </c>
    </row>
    <row r="18" spans="2:2" ht="15">
      <c r="B18" s="7"/>
    </row>
    <row r="19" spans="2:2" ht="15">
      <c r="B19" s="5" t="s">
        <v>25</v>
      </c>
    </row>
    <row r="20" spans="2:2" ht="15.5">
      <c r="B20" s="10" t="s">
        <v>30</v>
      </c>
    </row>
    <row r="21" spans="2:2" ht="15.5">
      <c r="B21" s="10" t="s">
        <v>31</v>
      </c>
    </row>
    <row r="22" spans="2:2" ht="15.5">
      <c r="B22" s="10" t="s">
        <v>32</v>
      </c>
    </row>
  </sheetData>
  <mergeCells count="1">
    <mergeCell ref="B2:L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F38AC-54A2-468F-9864-63F804472858}">
  <dimension ref="A1:F21"/>
  <sheetViews>
    <sheetView workbookViewId="0">
      <selection activeCell="B5" sqref="A1:F21"/>
    </sheetView>
  </sheetViews>
  <sheetFormatPr defaultColWidth="12.6328125" defaultRowHeight="14.5"/>
  <sheetData>
    <row r="1" spans="1:6">
      <c r="A1" s="1" t="s">
        <v>1</v>
      </c>
      <c r="B1" s="1" t="s">
        <v>2</v>
      </c>
      <c r="C1" s="1" t="s">
        <v>3</v>
      </c>
      <c r="D1" s="1" t="s">
        <v>4</v>
      </c>
      <c r="E1" s="1" t="s">
        <v>5</v>
      </c>
      <c r="F1" s="1" t="s">
        <v>6</v>
      </c>
    </row>
    <row r="2" spans="1:6">
      <c r="A2" s="2">
        <v>44562</v>
      </c>
      <c r="B2" s="3" t="s">
        <v>7</v>
      </c>
      <c r="C2" s="3" t="s">
        <v>8</v>
      </c>
      <c r="D2" s="3" t="s">
        <v>9</v>
      </c>
      <c r="E2" s="3">
        <v>50</v>
      </c>
      <c r="F2" s="4">
        <v>1000</v>
      </c>
    </row>
    <row r="3" spans="1:6">
      <c r="A3" s="2">
        <v>44563</v>
      </c>
      <c r="B3" s="3" t="s">
        <v>10</v>
      </c>
      <c r="C3" s="3" t="s">
        <v>11</v>
      </c>
      <c r="D3" s="3" t="s">
        <v>12</v>
      </c>
      <c r="E3" s="3">
        <v>40</v>
      </c>
      <c r="F3" s="4">
        <v>1200</v>
      </c>
    </row>
    <row r="4" spans="1:6">
      <c r="A4" s="2">
        <v>44564</v>
      </c>
      <c r="B4" s="3" t="s">
        <v>7</v>
      </c>
      <c r="C4" s="3" t="s">
        <v>13</v>
      </c>
      <c r="D4" s="3" t="s">
        <v>9</v>
      </c>
      <c r="E4" s="3">
        <v>60</v>
      </c>
      <c r="F4" s="4">
        <v>1500</v>
      </c>
    </row>
    <row r="5" spans="1:6">
      <c r="A5" s="2">
        <v>44565</v>
      </c>
      <c r="B5" s="3" t="s">
        <v>14</v>
      </c>
      <c r="C5" s="3" t="s">
        <v>15</v>
      </c>
      <c r="D5" s="3" t="s">
        <v>16</v>
      </c>
      <c r="E5" s="3">
        <v>30</v>
      </c>
      <c r="F5" s="4">
        <v>800</v>
      </c>
    </row>
    <row r="6" spans="1:6">
      <c r="A6" s="2">
        <v>44566</v>
      </c>
      <c r="B6" s="3" t="s">
        <v>10</v>
      </c>
      <c r="C6" s="3" t="s">
        <v>8</v>
      </c>
      <c r="D6" s="3" t="s">
        <v>12</v>
      </c>
      <c r="E6" s="3">
        <v>45</v>
      </c>
      <c r="F6" s="4">
        <v>1100</v>
      </c>
    </row>
    <row r="7" spans="1:6">
      <c r="A7" s="2">
        <v>44567</v>
      </c>
      <c r="B7" s="3" t="s">
        <v>7</v>
      </c>
      <c r="C7" s="3" t="s">
        <v>11</v>
      </c>
      <c r="D7" s="3" t="s">
        <v>9</v>
      </c>
      <c r="E7" s="3">
        <v>55</v>
      </c>
      <c r="F7" s="4">
        <v>1300</v>
      </c>
    </row>
    <row r="8" spans="1:6">
      <c r="A8" s="2">
        <v>44568</v>
      </c>
      <c r="B8" s="3" t="s">
        <v>14</v>
      </c>
      <c r="C8" s="3" t="s">
        <v>15</v>
      </c>
      <c r="D8" s="3" t="s">
        <v>12</v>
      </c>
      <c r="E8" s="3">
        <v>35</v>
      </c>
      <c r="F8" s="4">
        <v>900</v>
      </c>
    </row>
    <row r="9" spans="1:6">
      <c r="A9" s="2">
        <v>44569</v>
      </c>
      <c r="B9" s="3" t="s">
        <v>10</v>
      </c>
      <c r="C9" s="3" t="s">
        <v>8</v>
      </c>
      <c r="D9" s="3" t="s">
        <v>16</v>
      </c>
      <c r="E9" s="3">
        <v>48</v>
      </c>
      <c r="F9" s="4">
        <v>1250</v>
      </c>
    </row>
    <row r="10" spans="1:6">
      <c r="A10" s="2">
        <v>44570</v>
      </c>
      <c r="B10" s="3" t="s">
        <v>7</v>
      </c>
      <c r="C10" s="3" t="s">
        <v>13</v>
      </c>
      <c r="D10" s="3" t="s">
        <v>12</v>
      </c>
      <c r="E10" s="3">
        <v>58</v>
      </c>
      <c r="F10" s="4">
        <v>1450</v>
      </c>
    </row>
    <row r="11" spans="1:6">
      <c r="A11" s="2">
        <v>44571</v>
      </c>
      <c r="B11" s="3" t="s">
        <v>14</v>
      </c>
      <c r="C11" s="3" t="s">
        <v>11</v>
      </c>
      <c r="D11" s="3" t="s">
        <v>9</v>
      </c>
      <c r="E11" s="3">
        <v>42</v>
      </c>
      <c r="F11" s="4">
        <v>1150</v>
      </c>
    </row>
    <row r="12" spans="1:6">
      <c r="A12" s="2">
        <v>44572</v>
      </c>
      <c r="B12" s="3" t="s">
        <v>10</v>
      </c>
      <c r="C12" s="3" t="s">
        <v>15</v>
      </c>
      <c r="D12" s="3" t="s">
        <v>16</v>
      </c>
      <c r="E12" s="3">
        <v>50</v>
      </c>
      <c r="F12" s="4">
        <v>1400</v>
      </c>
    </row>
    <row r="13" spans="1:6">
      <c r="A13" s="2">
        <v>44573</v>
      </c>
      <c r="B13" s="3" t="s">
        <v>7</v>
      </c>
      <c r="C13" s="3" t="s">
        <v>8</v>
      </c>
      <c r="D13" s="3" t="s">
        <v>9</v>
      </c>
      <c r="E13" s="3">
        <v>62</v>
      </c>
      <c r="F13" s="4">
        <v>1550</v>
      </c>
    </row>
    <row r="14" spans="1:6">
      <c r="A14" s="2">
        <v>44574</v>
      </c>
      <c r="B14" s="3" t="s">
        <v>14</v>
      </c>
      <c r="C14" s="3" t="s">
        <v>13</v>
      </c>
      <c r="D14" s="3" t="s">
        <v>12</v>
      </c>
      <c r="E14" s="3">
        <v>40</v>
      </c>
      <c r="F14" s="4">
        <v>1200</v>
      </c>
    </row>
    <row r="15" spans="1:6">
      <c r="A15" s="2">
        <v>44575</v>
      </c>
      <c r="B15" s="3" t="s">
        <v>10</v>
      </c>
      <c r="C15" s="3" t="s">
        <v>11</v>
      </c>
      <c r="D15" s="3" t="s">
        <v>16</v>
      </c>
      <c r="E15" s="3">
        <v>55</v>
      </c>
      <c r="F15" s="4">
        <v>1350</v>
      </c>
    </row>
    <row r="16" spans="1:6">
      <c r="A16" s="2">
        <v>44576</v>
      </c>
      <c r="B16" s="3" t="s">
        <v>7</v>
      </c>
      <c r="C16" s="3" t="s">
        <v>15</v>
      </c>
      <c r="D16" s="3" t="s">
        <v>9</v>
      </c>
      <c r="E16" s="3">
        <v>48</v>
      </c>
      <c r="F16" s="4">
        <v>1250</v>
      </c>
    </row>
    <row r="17" spans="1:6">
      <c r="A17" s="2">
        <v>44577</v>
      </c>
      <c r="B17" s="3" t="s">
        <v>14</v>
      </c>
      <c r="C17" s="3" t="s">
        <v>8</v>
      </c>
      <c r="D17" s="3" t="s">
        <v>12</v>
      </c>
      <c r="E17" s="3">
        <v>65</v>
      </c>
      <c r="F17" s="4">
        <v>1600</v>
      </c>
    </row>
    <row r="18" spans="1:6">
      <c r="A18" s="2">
        <v>44578</v>
      </c>
      <c r="B18" s="3" t="s">
        <v>10</v>
      </c>
      <c r="C18" s="3" t="s">
        <v>13</v>
      </c>
      <c r="D18" s="3" t="s">
        <v>16</v>
      </c>
      <c r="E18" s="3">
        <v>42</v>
      </c>
      <c r="F18" s="4">
        <v>1150</v>
      </c>
    </row>
    <row r="19" spans="1:6">
      <c r="A19" s="2">
        <v>44579</v>
      </c>
      <c r="B19" s="3" t="s">
        <v>7</v>
      </c>
      <c r="C19" s="3" t="s">
        <v>11</v>
      </c>
      <c r="D19" s="3" t="s">
        <v>9</v>
      </c>
      <c r="E19" s="3">
        <v>58</v>
      </c>
      <c r="F19" s="4">
        <v>1450</v>
      </c>
    </row>
    <row r="20" spans="1:6">
      <c r="A20" s="2">
        <v>44580</v>
      </c>
      <c r="B20" s="3" t="s">
        <v>14</v>
      </c>
      <c r="C20" s="3" t="s">
        <v>15</v>
      </c>
      <c r="D20" s="3" t="s">
        <v>12</v>
      </c>
      <c r="E20" s="3">
        <v>50</v>
      </c>
      <c r="F20" s="4">
        <v>1400</v>
      </c>
    </row>
    <row r="21" spans="1:6">
      <c r="A21" s="2">
        <v>44581</v>
      </c>
      <c r="B21" s="3" t="s">
        <v>10</v>
      </c>
      <c r="C21" s="3" t="s">
        <v>8</v>
      </c>
      <c r="D21" s="3" t="s">
        <v>16</v>
      </c>
      <c r="E21" s="3">
        <v>60</v>
      </c>
      <c r="F21" s="4">
        <v>1500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A185C-523C-4EDD-9D93-6DC52FBBEFA0}">
  <dimension ref="A3:H37"/>
  <sheetViews>
    <sheetView zoomScale="59" zoomScaleNormal="100" workbookViewId="0">
      <selection activeCell="B17" sqref="B17:B37"/>
    </sheetView>
  </sheetViews>
  <sheetFormatPr defaultRowHeight="14.5"/>
  <cols>
    <col min="1" max="1" width="14.26953125" bestFit="1" customWidth="1"/>
    <col min="2" max="2" width="14.90625" bestFit="1" customWidth="1"/>
    <col min="4" max="4" width="14.26953125" bestFit="1" customWidth="1"/>
    <col min="5" max="5" width="14.90625" bestFit="1" customWidth="1"/>
    <col min="7" max="7" width="14.26953125" bestFit="1" customWidth="1"/>
    <col min="8" max="8" width="14.90625" bestFit="1" customWidth="1"/>
  </cols>
  <sheetData>
    <row r="3" spans="1:8">
      <c r="A3" s="12" t="s">
        <v>33</v>
      </c>
      <c r="B3" t="s">
        <v>35</v>
      </c>
      <c r="D3" s="12" t="s">
        <v>33</v>
      </c>
      <c r="E3" t="s">
        <v>35</v>
      </c>
      <c r="G3" s="12" t="s">
        <v>33</v>
      </c>
      <c r="H3" t="s">
        <v>35</v>
      </c>
    </row>
    <row r="4" spans="1:8">
      <c r="A4" s="11" t="s">
        <v>10</v>
      </c>
      <c r="B4" s="19">
        <v>8950</v>
      </c>
      <c r="D4" s="11" t="s">
        <v>9</v>
      </c>
      <c r="E4" s="19">
        <v>9200</v>
      </c>
      <c r="G4" s="11" t="s">
        <v>15</v>
      </c>
      <c r="H4" s="19">
        <v>5750</v>
      </c>
    </row>
    <row r="5" spans="1:8">
      <c r="A5" s="15" t="s">
        <v>12</v>
      </c>
      <c r="B5" s="19">
        <v>2300</v>
      </c>
      <c r="D5" s="15" t="s">
        <v>14</v>
      </c>
      <c r="E5" s="19">
        <v>1150</v>
      </c>
      <c r="G5" s="11" t="s">
        <v>8</v>
      </c>
      <c r="H5" s="19">
        <v>8000</v>
      </c>
    </row>
    <row r="6" spans="1:8">
      <c r="A6" s="15" t="s">
        <v>16</v>
      </c>
      <c r="B6" s="19">
        <v>6650</v>
      </c>
      <c r="D6" s="15" t="s">
        <v>7</v>
      </c>
      <c r="E6" s="19">
        <v>8050</v>
      </c>
      <c r="G6" s="11" t="s">
        <v>11</v>
      </c>
      <c r="H6" s="19">
        <v>6450</v>
      </c>
    </row>
    <row r="7" spans="1:8">
      <c r="A7" s="11" t="s">
        <v>14</v>
      </c>
      <c r="B7" s="19">
        <v>7050</v>
      </c>
      <c r="D7" s="11" t="s">
        <v>12</v>
      </c>
      <c r="E7" s="19">
        <v>8850</v>
      </c>
      <c r="G7" s="11" t="s">
        <v>13</v>
      </c>
      <c r="H7" s="19">
        <v>5300</v>
      </c>
    </row>
    <row r="8" spans="1:8">
      <c r="A8" s="15" t="s">
        <v>9</v>
      </c>
      <c r="B8" s="19">
        <v>1150</v>
      </c>
      <c r="D8" s="15" t="s">
        <v>10</v>
      </c>
      <c r="E8" s="19">
        <v>2300</v>
      </c>
      <c r="G8" s="11" t="s">
        <v>34</v>
      </c>
      <c r="H8" s="19">
        <v>25500</v>
      </c>
    </row>
    <row r="9" spans="1:8">
      <c r="A9" s="15" t="s">
        <v>12</v>
      </c>
      <c r="B9" s="19">
        <v>5100</v>
      </c>
      <c r="D9" s="15" t="s">
        <v>14</v>
      </c>
      <c r="E9" s="19">
        <v>5100</v>
      </c>
    </row>
    <row r="10" spans="1:8">
      <c r="A10" s="15" t="s">
        <v>16</v>
      </c>
      <c r="B10" s="19">
        <v>800</v>
      </c>
      <c r="D10" s="15" t="s">
        <v>7</v>
      </c>
      <c r="E10" s="19">
        <v>1450</v>
      </c>
    </row>
    <row r="11" spans="1:8">
      <c r="A11" s="11" t="s">
        <v>7</v>
      </c>
      <c r="B11" s="19">
        <v>9500</v>
      </c>
      <c r="D11" s="11" t="s">
        <v>16</v>
      </c>
      <c r="E11" s="19">
        <v>7450</v>
      </c>
    </row>
    <row r="12" spans="1:8">
      <c r="A12" s="15" t="s">
        <v>9</v>
      </c>
      <c r="B12" s="19">
        <v>8050</v>
      </c>
      <c r="D12" s="15" t="s">
        <v>10</v>
      </c>
      <c r="E12" s="19">
        <v>6650</v>
      </c>
    </row>
    <row r="13" spans="1:8">
      <c r="A13" s="15" t="s">
        <v>12</v>
      </c>
      <c r="B13" s="19">
        <v>1450</v>
      </c>
      <c r="D13" s="15" t="s">
        <v>14</v>
      </c>
      <c r="E13" s="19">
        <v>800</v>
      </c>
    </row>
    <row r="14" spans="1:8">
      <c r="A14" s="11" t="s">
        <v>34</v>
      </c>
      <c r="B14" s="19">
        <v>25500</v>
      </c>
      <c r="D14" s="11" t="s">
        <v>34</v>
      </c>
      <c r="E14" s="19">
        <v>25500</v>
      </c>
    </row>
    <row r="16" spans="1:8">
      <c r="A16" s="12" t="s">
        <v>33</v>
      </c>
      <c r="B16" t="s">
        <v>35</v>
      </c>
    </row>
    <row r="17" spans="1:2">
      <c r="A17" s="16">
        <v>44562</v>
      </c>
      <c r="B17" s="19">
        <v>1000</v>
      </c>
    </row>
    <row r="18" spans="1:2">
      <c r="A18" s="16">
        <v>44563</v>
      </c>
      <c r="B18" s="19">
        <v>1200</v>
      </c>
    </row>
    <row r="19" spans="1:2">
      <c r="A19" s="16">
        <v>44564</v>
      </c>
      <c r="B19" s="19">
        <v>1500</v>
      </c>
    </row>
    <row r="20" spans="1:2">
      <c r="A20" s="16">
        <v>44565</v>
      </c>
      <c r="B20" s="19">
        <v>800</v>
      </c>
    </row>
    <row r="21" spans="1:2">
      <c r="A21" s="16">
        <v>44566</v>
      </c>
      <c r="B21" s="19">
        <v>1100</v>
      </c>
    </row>
    <row r="22" spans="1:2">
      <c r="A22" s="16">
        <v>44567</v>
      </c>
      <c r="B22" s="19">
        <v>1300</v>
      </c>
    </row>
    <row r="23" spans="1:2">
      <c r="A23" s="16">
        <v>44568</v>
      </c>
      <c r="B23" s="19">
        <v>900</v>
      </c>
    </row>
    <row r="24" spans="1:2">
      <c r="A24" s="16">
        <v>44569</v>
      </c>
      <c r="B24" s="19">
        <v>1250</v>
      </c>
    </row>
    <row r="25" spans="1:2">
      <c r="A25" s="16">
        <v>44570</v>
      </c>
      <c r="B25" s="19">
        <v>1450</v>
      </c>
    </row>
    <row r="26" spans="1:2">
      <c r="A26" s="16">
        <v>44571</v>
      </c>
      <c r="B26" s="19">
        <v>1150</v>
      </c>
    </row>
    <row r="27" spans="1:2">
      <c r="A27" s="16">
        <v>44572</v>
      </c>
      <c r="B27" s="19">
        <v>1400</v>
      </c>
    </row>
    <row r="28" spans="1:2">
      <c r="A28" s="16">
        <v>44573</v>
      </c>
      <c r="B28" s="19">
        <v>1550</v>
      </c>
    </row>
    <row r="29" spans="1:2">
      <c r="A29" s="16">
        <v>44574</v>
      </c>
      <c r="B29" s="19">
        <v>1200</v>
      </c>
    </row>
    <row r="30" spans="1:2">
      <c r="A30" s="16">
        <v>44575</v>
      </c>
      <c r="B30" s="19">
        <v>1350</v>
      </c>
    </row>
    <row r="31" spans="1:2">
      <c r="A31" s="16">
        <v>44576</v>
      </c>
      <c r="B31" s="19">
        <v>1250</v>
      </c>
    </row>
    <row r="32" spans="1:2">
      <c r="A32" s="16">
        <v>44577</v>
      </c>
      <c r="B32" s="19">
        <v>1600</v>
      </c>
    </row>
    <row r="33" spans="1:2">
      <c r="A33" s="16">
        <v>44578</v>
      </c>
      <c r="B33" s="19">
        <v>1150</v>
      </c>
    </row>
    <row r="34" spans="1:2">
      <c r="A34" s="16">
        <v>44579</v>
      </c>
      <c r="B34" s="19">
        <v>1450</v>
      </c>
    </row>
    <row r="35" spans="1:2">
      <c r="A35" s="16">
        <v>44580</v>
      </c>
      <c r="B35" s="19">
        <v>1400</v>
      </c>
    </row>
    <row r="36" spans="1:2">
      <c r="A36" s="16">
        <v>44581</v>
      </c>
      <c r="B36" s="19">
        <v>1500</v>
      </c>
    </row>
    <row r="37" spans="1:2">
      <c r="A37" s="16" t="s">
        <v>34</v>
      </c>
      <c r="B37" s="19">
        <v>25500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2131B-B6E8-4F48-8098-E0DEBEDE77FD}">
  <dimension ref="A1:V28"/>
  <sheetViews>
    <sheetView topLeftCell="A4" zoomScale="75" workbookViewId="0">
      <selection activeCell="U16" sqref="U16"/>
    </sheetView>
  </sheetViews>
  <sheetFormatPr defaultRowHeight="14.5"/>
  <cols>
    <col min="1" max="1" width="4.6328125" customWidth="1"/>
    <col min="18" max="18" width="4.6328125" customWidth="1"/>
  </cols>
  <sheetData>
    <row r="1" spans="1:22">
      <c r="A1" s="17"/>
      <c r="B1" s="17"/>
      <c r="C1" s="17"/>
      <c r="D1" s="17"/>
      <c r="E1" s="17"/>
      <c r="F1" s="17"/>
      <c r="G1" s="17"/>
      <c r="H1" s="17"/>
      <c r="I1" s="17"/>
      <c r="J1" s="17"/>
      <c r="K1" s="17"/>
      <c r="L1" s="17"/>
      <c r="M1" s="17"/>
      <c r="N1" s="17"/>
      <c r="O1" s="17"/>
      <c r="P1" s="17"/>
      <c r="Q1" s="17"/>
      <c r="R1" s="17"/>
    </row>
    <row r="2" spans="1:22">
      <c r="A2" s="17"/>
      <c r="B2" s="28" t="s">
        <v>36</v>
      </c>
      <c r="C2" s="28"/>
      <c r="D2" s="28"/>
      <c r="E2" s="28"/>
      <c r="F2" s="28"/>
      <c r="G2" s="28"/>
      <c r="H2" s="28"/>
      <c r="I2" s="28"/>
      <c r="J2" s="28"/>
      <c r="K2" s="28"/>
      <c r="L2" s="28"/>
      <c r="M2" s="28"/>
      <c r="N2" s="28"/>
      <c r="O2" s="28"/>
      <c r="P2" s="28"/>
      <c r="Q2" s="28"/>
      <c r="R2" s="17"/>
    </row>
    <row r="3" spans="1:22">
      <c r="A3" s="17"/>
      <c r="B3" s="28"/>
      <c r="C3" s="28"/>
      <c r="D3" s="28"/>
      <c r="E3" s="28"/>
      <c r="F3" s="28"/>
      <c r="G3" s="28"/>
      <c r="H3" s="28"/>
      <c r="I3" s="28"/>
      <c r="J3" s="28"/>
      <c r="K3" s="28"/>
      <c r="L3" s="28"/>
      <c r="M3" s="28"/>
      <c r="N3" s="28"/>
      <c r="O3" s="28"/>
      <c r="P3" s="28"/>
      <c r="Q3" s="28"/>
      <c r="R3" s="17"/>
    </row>
    <row r="4" spans="1:22">
      <c r="A4" s="17"/>
      <c r="B4" s="17"/>
      <c r="C4" s="17"/>
      <c r="D4" s="17"/>
      <c r="E4" s="17"/>
      <c r="F4" s="17"/>
      <c r="G4" s="17"/>
      <c r="H4" s="17"/>
      <c r="I4" s="17"/>
      <c r="J4" s="17"/>
      <c r="K4" s="17"/>
      <c r="L4" s="17"/>
      <c r="M4" s="17"/>
      <c r="N4" s="17"/>
      <c r="O4" s="17"/>
      <c r="P4" s="17"/>
      <c r="Q4" s="17"/>
      <c r="R4" s="17"/>
      <c r="V4" t="s">
        <v>18</v>
      </c>
    </row>
    <row r="5" spans="1:22">
      <c r="A5" s="17"/>
      <c r="B5" s="17"/>
      <c r="C5" s="17"/>
      <c r="D5" s="17"/>
      <c r="E5" s="17"/>
      <c r="F5" s="17"/>
      <c r="G5" s="17"/>
      <c r="H5" s="17"/>
      <c r="I5" s="17"/>
      <c r="J5" s="17"/>
      <c r="K5" s="17"/>
      <c r="L5" s="17"/>
      <c r="M5" s="17"/>
      <c r="N5" s="17"/>
      <c r="O5" s="17"/>
      <c r="P5" s="17"/>
      <c r="Q5" s="17"/>
      <c r="R5" s="17"/>
    </row>
    <row r="6" spans="1:22">
      <c r="A6" s="17"/>
      <c r="B6" s="17"/>
      <c r="C6" s="17"/>
      <c r="D6" s="17"/>
      <c r="E6" s="17"/>
      <c r="F6" s="17"/>
      <c r="G6" s="17"/>
      <c r="H6" s="17"/>
      <c r="I6" s="17"/>
      <c r="J6" s="17"/>
      <c r="K6" s="17"/>
      <c r="L6" s="17"/>
      <c r="M6" s="17"/>
      <c r="N6" s="17"/>
      <c r="O6" s="17"/>
      <c r="P6" s="17"/>
      <c r="Q6" s="17"/>
      <c r="R6" s="17"/>
    </row>
    <row r="7" spans="1:22">
      <c r="A7" s="17"/>
      <c r="B7" s="17"/>
      <c r="C7" s="17"/>
      <c r="D7" s="17"/>
      <c r="E7" s="17"/>
      <c r="F7" s="17"/>
      <c r="G7" s="17"/>
      <c r="H7" s="17"/>
      <c r="I7" s="17"/>
      <c r="J7" s="17"/>
      <c r="K7" s="17"/>
      <c r="L7" s="17"/>
      <c r="M7" s="17"/>
      <c r="N7" s="17"/>
      <c r="O7" s="17"/>
      <c r="P7" s="17"/>
      <c r="Q7" s="17"/>
      <c r="R7" s="17"/>
    </row>
    <row r="8" spans="1:22">
      <c r="A8" s="17"/>
      <c r="B8" s="17"/>
      <c r="C8" s="17"/>
      <c r="D8" s="17"/>
      <c r="E8" s="17"/>
      <c r="F8" s="17"/>
      <c r="G8" s="17"/>
      <c r="H8" s="17"/>
      <c r="I8" s="17"/>
      <c r="J8" s="17"/>
      <c r="K8" s="17"/>
      <c r="L8" s="17"/>
      <c r="M8" s="17"/>
      <c r="N8" s="17"/>
      <c r="O8" s="17"/>
      <c r="P8" s="17"/>
      <c r="Q8" s="17"/>
      <c r="R8" s="17"/>
    </row>
    <row r="9" spans="1:22">
      <c r="A9" s="17"/>
      <c r="B9" s="17"/>
      <c r="C9" s="17"/>
      <c r="D9" s="17"/>
      <c r="E9" s="17"/>
      <c r="F9" s="17"/>
      <c r="G9" s="17"/>
      <c r="H9" s="17"/>
      <c r="I9" s="17"/>
      <c r="J9" s="17"/>
      <c r="K9" s="17"/>
      <c r="L9" s="17"/>
      <c r="M9" s="17"/>
      <c r="N9" s="17"/>
      <c r="O9" s="17"/>
      <c r="P9" s="17"/>
      <c r="Q9" s="17"/>
      <c r="R9" s="17"/>
    </row>
    <row r="10" spans="1:22">
      <c r="A10" s="17"/>
      <c r="B10" s="17"/>
      <c r="C10" s="17"/>
      <c r="D10" s="17"/>
      <c r="E10" s="17"/>
      <c r="F10" s="17"/>
      <c r="G10" s="17"/>
      <c r="H10" s="17"/>
      <c r="I10" s="17"/>
      <c r="J10" s="17"/>
      <c r="K10" s="17"/>
      <c r="L10" s="17"/>
      <c r="M10" s="17"/>
      <c r="N10" s="17"/>
      <c r="O10" s="17"/>
      <c r="P10" s="17"/>
      <c r="Q10" s="17"/>
      <c r="R10" s="17"/>
    </row>
    <row r="11" spans="1:22">
      <c r="A11" s="17"/>
      <c r="B11" s="17"/>
      <c r="C11" s="17"/>
      <c r="D11" s="17"/>
      <c r="E11" s="17"/>
      <c r="F11" s="17"/>
      <c r="G11" s="17"/>
      <c r="H11" s="17"/>
      <c r="I11" s="17"/>
      <c r="J11" s="17"/>
      <c r="K11" s="17"/>
      <c r="L11" s="17"/>
      <c r="M11" s="17"/>
      <c r="N11" s="17"/>
      <c r="O11" s="17"/>
      <c r="P11" s="17"/>
      <c r="Q11" s="17"/>
      <c r="R11" s="17"/>
    </row>
    <row r="12" spans="1:22">
      <c r="A12" s="17"/>
      <c r="B12" s="17"/>
      <c r="C12" s="17"/>
      <c r="D12" s="17"/>
      <c r="E12" s="17"/>
      <c r="F12" s="17"/>
      <c r="G12" s="17"/>
      <c r="H12" s="17"/>
      <c r="I12" s="17"/>
      <c r="J12" s="17"/>
      <c r="K12" s="17"/>
      <c r="L12" s="17"/>
      <c r="M12" s="17"/>
      <c r="N12" s="17"/>
      <c r="O12" s="17"/>
      <c r="P12" s="17"/>
      <c r="Q12" s="17"/>
      <c r="R12" s="17"/>
    </row>
    <row r="13" spans="1:22">
      <c r="A13" s="17"/>
      <c r="B13" s="17"/>
      <c r="C13" s="17"/>
      <c r="D13" s="17"/>
      <c r="E13" s="17"/>
      <c r="F13" s="17"/>
      <c r="G13" s="17"/>
      <c r="H13" s="17"/>
      <c r="I13" s="17"/>
      <c r="J13" s="17"/>
      <c r="K13" s="17"/>
      <c r="L13" s="17"/>
      <c r="M13" s="17"/>
      <c r="N13" s="17"/>
      <c r="O13" s="17"/>
      <c r="P13" s="17"/>
      <c r="Q13" s="17"/>
      <c r="R13" s="17"/>
    </row>
    <row r="14" spans="1:22">
      <c r="A14" s="17"/>
      <c r="B14" s="17"/>
      <c r="C14" s="17"/>
      <c r="D14" s="17"/>
      <c r="E14" s="17"/>
      <c r="F14" s="17"/>
      <c r="G14" s="17"/>
      <c r="H14" s="17"/>
      <c r="I14" s="17"/>
      <c r="J14" s="17"/>
      <c r="K14" s="17"/>
      <c r="L14" s="17"/>
      <c r="M14" s="17"/>
      <c r="N14" s="17"/>
      <c r="O14" s="17"/>
      <c r="P14" s="17"/>
      <c r="Q14" s="17"/>
      <c r="R14" s="17"/>
    </row>
    <row r="15" spans="1:22">
      <c r="A15" s="17"/>
      <c r="B15" s="17"/>
      <c r="C15" s="17"/>
      <c r="D15" s="17"/>
      <c r="E15" s="17"/>
      <c r="F15" s="17"/>
      <c r="G15" s="17"/>
      <c r="H15" s="17"/>
      <c r="I15" s="17"/>
      <c r="J15" s="17"/>
      <c r="K15" s="17"/>
      <c r="L15" s="17"/>
      <c r="M15" s="17"/>
      <c r="N15" s="17"/>
      <c r="O15" s="17"/>
      <c r="P15" s="17"/>
      <c r="Q15" s="17"/>
      <c r="R15" s="17"/>
    </row>
    <row r="16" spans="1:22">
      <c r="A16" s="17"/>
      <c r="B16" s="17"/>
      <c r="C16" s="17"/>
      <c r="D16" s="17"/>
      <c r="E16" s="17"/>
      <c r="F16" s="17"/>
      <c r="G16" s="17"/>
      <c r="H16" s="17"/>
      <c r="I16" s="17"/>
      <c r="J16" s="17"/>
      <c r="K16" s="17"/>
      <c r="L16" s="17"/>
      <c r="M16" s="17"/>
      <c r="N16" s="17"/>
      <c r="O16" s="17"/>
      <c r="P16" s="17"/>
      <c r="Q16" s="17"/>
      <c r="R16" s="17"/>
    </row>
    <row r="17" spans="1:18">
      <c r="A17" s="17"/>
      <c r="B17" s="17"/>
      <c r="C17" s="17"/>
      <c r="D17" s="17"/>
      <c r="E17" s="17"/>
      <c r="F17" s="17"/>
      <c r="G17" s="17"/>
      <c r="H17" s="17"/>
      <c r="I17" s="17"/>
      <c r="J17" s="17"/>
      <c r="K17" s="17"/>
      <c r="L17" s="17"/>
      <c r="M17" s="17"/>
      <c r="N17" s="17"/>
      <c r="O17" s="17"/>
      <c r="P17" s="17"/>
      <c r="Q17" s="17"/>
      <c r="R17" s="17"/>
    </row>
    <row r="18" spans="1:18">
      <c r="A18" s="17"/>
      <c r="B18" s="17"/>
      <c r="C18" s="17"/>
      <c r="D18" s="17"/>
      <c r="E18" s="17"/>
      <c r="F18" s="17"/>
      <c r="G18" s="17"/>
      <c r="H18" s="17"/>
      <c r="I18" s="17"/>
      <c r="J18" s="17"/>
      <c r="K18" s="17"/>
      <c r="L18" s="17"/>
      <c r="M18" s="17"/>
      <c r="N18" s="17"/>
      <c r="O18" s="17"/>
      <c r="P18" s="17"/>
      <c r="Q18" s="17"/>
      <c r="R18" s="17"/>
    </row>
    <row r="19" spans="1:18">
      <c r="A19" s="17"/>
      <c r="B19" s="17"/>
      <c r="C19" s="17"/>
      <c r="D19" s="17"/>
      <c r="E19" s="17"/>
      <c r="F19" s="17"/>
      <c r="G19" s="17"/>
      <c r="H19" s="17"/>
      <c r="I19" s="17"/>
      <c r="J19" s="17"/>
      <c r="K19" s="17"/>
      <c r="L19" s="17"/>
      <c r="M19" s="17"/>
      <c r="N19" s="17"/>
      <c r="O19" s="17"/>
      <c r="P19" s="17"/>
      <c r="Q19" s="17"/>
      <c r="R19" s="17"/>
    </row>
    <row r="20" spans="1:18">
      <c r="A20" s="17"/>
      <c r="B20" s="17"/>
      <c r="C20" s="17"/>
      <c r="D20" s="17"/>
      <c r="E20" s="17"/>
      <c r="F20" s="17"/>
      <c r="G20" s="17"/>
      <c r="H20" s="17"/>
      <c r="I20" s="17"/>
      <c r="J20" s="17"/>
      <c r="K20" s="17"/>
      <c r="L20" s="17"/>
      <c r="M20" s="17"/>
      <c r="N20" s="17"/>
      <c r="O20" s="17"/>
      <c r="P20" s="17"/>
      <c r="Q20" s="17"/>
      <c r="R20" s="17"/>
    </row>
    <row r="21" spans="1:18">
      <c r="A21" s="17"/>
      <c r="B21" s="17"/>
      <c r="C21" s="17"/>
      <c r="D21" s="17"/>
      <c r="E21" s="17"/>
      <c r="F21" s="17"/>
      <c r="G21" s="17"/>
      <c r="H21" s="17"/>
      <c r="I21" s="17"/>
      <c r="J21" s="17"/>
      <c r="K21" s="17"/>
      <c r="L21" s="17"/>
      <c r="M21" s="17"/>
      <c r="N21" s="17"/>
      <c r="O21" s="17"/>
      <c r="P21" s="17"/>
      <c r="Q21" s="17"/>
      <c r="R21" s="17"/>
    </row>
    <row r="22" spans="1:18">
      <c r="A22" s="17"/>
      <c r="B22" s="17"/>
      <c r="C22" s="17"/>
      <c r="D22" s="17"/>
      <c r="E22" s="17"/>
      <c r="F22" s="17"/>
      <c r="G22" s="17"/>
      <c r="H22" s="17"/>
      <c r="I22" s="17"/>
      <c r="J22" s="17"/>
      <c r="K22" s="17"/>
      <c r="L22" s="17"/>
      <c r="M22" s="17"/>
      <c r="N22" s="17"/>
      <c r="O22" s="17"/>
      <c r="P22" s="17"/>
      <c r="Q22" s="17"/>
      <c r="R22" s="17"/>
    </row>
    <row r="23" spans="1:18">
      <c r="A23" s="17"/>
      <c r="B23" s="17"/>
      <c r="C23" s="17"/>
      <c r="D23" s="17"/>
      <c r="E23" s="17"/>
      <c r="F23" s="17"/>
      <c r="G23" s="17"/>
      <c r="H23" s="17"/>
      <c r="I23" s="17"/>
      <c r="J23" s="17"/>
      <c r="K23" s="17"/>
      <c r="L23" s="17"/>
      <c r="M23" s="17"/>
      <c r="N23" s="17"/>
      <c r="O23" s="17"/>
      <c r="P23" s="17"/>
      <c r="Q23" s="17"/>
      <c r="R23" s="17"/>
    </row>
    <row r="24" spans="1:18">
      <c r="A24" s="17"/>
      <c r="B24" s="17"/>
      <c r="C24" s="17"/>
      <c r="D24" s="17"/>
      <c r="E24" s="17"/>
      <c r="F24" s="17"/>
      <c r="G24" s="17"/>
      <c r="H24" s="17"/>
      <c r="I24" s="17"/>
      <c r="J24" s="17"/>
      <c r="K24" s="17"/>
      <c r="L24" s="17"/>
      <c r="M24" s="17"/>
      <c r="N24" s="17"/>
      <c r="O24" s="17"/>
      <c r="P24" s="17"/>
      <c r="Q24" s="17"/>
      <c r="R24" s="17"/>
    </row>
    <row r="25" spans="1:18">
      <c r="A25" s="17"/>
      <c r="B25" s="17"/>
      <c r="C25" s="17"/>
      <c r="D25" s="17"/>
      <c r="E25" s="17"/>
      <c r="F25" s="17"/>
      <c r="G25" s="17"/>
      <c r="H25" s="17"/>
      <c r="I25" s="17"/>
      <c r="J25" s="17"/>
      <c r="K25" s="17"/>
      <c r="L25" s="17"/>
      <c r="M25" s="17"/>
      <c r="N25" s="17"/>
      <c r="O25" s="17"/>
      <c r="P25" s="17"/>
      <c r="Q25" s="17"/>
      <c r="R25" s="17"/>
    </row>
    <row r="26" spans="1:18">
      <c r="A26" s="17"/>
      <c r="B26" s="17"/>
      <c r="C26" s="17"/>
      <c r="D26" s="17"/>
      <c r="E26" s="17"/>
      <c r="F26" s="17"/>
      <c r="G26" s="17"/>
      <c r="H26" s="17"/>
      <c r="I26" s="17"/>
      <c r="J26" s="17"/>
      <c r="K26" s="17"/>
      <c r="L26" s="17"/>
      <c r="M26" s="17"/>
      <c r="N26" s="17"/>
      <c r="O26" s="17"/>
      <c r="P26" s="17"/>
      <c r="Q26" s="17"/>
      <c r="R26" s="17"/>
    </row>
    <row r="27" spans="1:18">
      <c r="A27" s="17"/>
      <c r="B27" s="17"/>
      <c r="C27" s="17"/>
      <c r="D27" s="17"/>
      <c r="E27" s="17"/>
      <c r="F27" s="17"/>
      <c r="G27" s="17"/>
      <c r="H27" s="17"/>
      <c r="I27" s="17"/>
      <c r="J27" s="17"/>
      <c r="K27" s="17"/>
      <c r="L27" s="17"/>
      <c r="M27" s="17"/>
      <c r="N27" s="17"/>
      <c r="O27" s="17"/>
      <c r="P27" s="17"/>
      <c r="Q27" s="17"/>
      <c r="R27" s="17"/>
    </row>
    <row r="28" spans="1:18">
      <c r="A28" s="17"/>
      <c r="B28" s="17"/>
      <c r="C28" s="17"/>
      <c r="D28" s="17"/>
      <c r="E28" s="17"/>
      <c r="F28" s="17"/>
      <c r="G28" s="17"/>
      <c r="H28" s="17"/>
      <c r="I28" s="17"/>
      <c r="J28" s="17"/>
      <c r="K28" s="17"/>
      <c r="L28" s="17"/>
      <c r="M28" s="17"/>
      <c r="N28" s="17"/>
      <c r="O28" s="17"/>
      <c r="P28" s="17"/>
      <c r="Q28" s="17"/>
      <c r="R28" s="17"/>
    </row>
  </sheetData>
  <mergeCells count="1">
    <mergeCell ref="B2:Q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01981-3FF3-4C33-A94E-03D4BA53F956}">
  <dimension ref="B2:M32"/>
  <sheetViews>
    <sheetView zoomScale="84" workbookViewId="0">
      <selection activeCell="B2" sqref="B2:C14"/>
    </sheetView>
  </sheetViews>
  <sheetFormatPr defaultRowHeight="14.5"/>
  <cols>
    <col min="2" max="2" width="12.36328125" bestFit="1" customWidth="1"/>
    <col min="3" max="3" width="14.36328125" bestFit="1" customWidth="1"/>
    <col min="5" max="5" width="17.26953125" bestFit="1" customWidth="1"/>
    <col min="6" max="6" width="12.453125" bestFit="1" customWidth="1"/>
    <col min="7" max="7" width="13.54296875" bestFit="1" customWidth="1"/>
    <col min="8" max="9" width="11.81640625" bestFit="1" customWidth="1"/>
    <col min="10" max="10" width="12.453125" bestFit="1" customWidth="1"/>
    <col min="11" max="11" width="11.81640625" bestFit="1" customWidth="1"/>
    <col min="12" max="12" width="12.453125" bestFit="1" customWidth="1"/>
    <col min="13" max="13" width="12" bestFit="1" customWidth="1"/>
  </cols>
  <sheetData>
    <row r="2" spans="2:10">
      <c r="B2" s="12" t="s">
        <v>33</v>
      </c>
      <c r="C2" t="s">
        <v>35</v>
      </c>
      <c r="E2" t="s">
        <v>37</v>
      </c>
      <c r="G2" t="s">
        <v>61</v>
      </c>
      <c r="H2">
        <f>SLOPE(C$3:C$14,B$3:B$14)</f>
        <v>35.023153789909813</v>
      </c>
    </row>
    <row r="3" spans="2:10" ht="15" thickBot="1">
      <c r="B3" s="11">
        <v>30</v>
      </c>
      <c r="C3" s="13">
        <v>800</v>
      </c>
      <c r="G3" t="s">
        <v>62</v>
      </c>
      <c r="H3">
        <f>INTERCEPT(C$3:C$14,B$3:B$14)</f>
        <v>403.02827199610101</v>
      </c>
    </row>
    <row r="4" spans="2:10">
      <c r="B4" s="11">
        <v>35</v>
      </c>
      <c r="C4" s="13">
        <v>900</v>
      </c>
      <c r="E4" s="22" t="s">
        <v>38</v>
      </c>
      <c r="F4" s="22"/>
      <c r="G4" t="s">
        <v>63</v>
      </c>
      <c r="H4">
        <f>RSQ(C$3:C$14,B$3:B$14)</f>
        <v>0.17461452683181672</v>
      </c>
    </row>
    <row r="5" spans="2:10">
      <c r="B5" s="11">
        <v>40</v>
      </c>
      <c r="C5" s="13">
        <v>2400</v>
      </c>
      <c r="E5" t="s">
        <v>39</v>
      </c>
      <c r="F5">
        <v>0.23417119589487811</v>
      </c>
      <c r="G5" t="s">
        <v>64</v>
      </c>
      <c r="H5">
        <f>CORREL(C$3:C$14,B$3:B$14)</f>
        <v>0.41786903071634396</v>
      </c>
    </row>
    <row r="6" spans="2:10">
      <c r="B6" s="11">
        <v>42</v>
      </c>
      <c r="C6" s="13">
        <v>2300</v>
      </c>
      <c r="E6" t="s">
        <v>40</v>
      </c>
      <c r="F6">
        <v>5.4836148986837377E-2</v>
      </c>
    </row>
    <row r="7" spans="2:10">
      <c r="B7" s="11">
        <v>45</v>
      </c>
      <c r="C7" s="13">
        <v>1100</v>
      </c>
      <c r="E7" t="s">
        <v>41</v>
      </c>
      <c r="F7">
        <v>-5.0182056681291803E-2</v>
      </c>
    </row>
    <row r="8" spans="2:10">
      <c r="B8" s="11">
        <v>48</v>
      </c>
      <c r="C8" s="13">
        <v>2500</v>
      </c>
      <c r="E8" t="s">
        <v>42</v>
      </c>
      <c r="F8">
        <v>898.79290124481304</v>
      </c>
    </row>
    <row r="9" spans="2:10" ht="15" thickBot="1">
      <c r="B9" s="11">
        <v>50</v>
      </c>
      <c r="C9" s="13">
        <v>3800</v>
      </c>
      <c r="E9" s="20" t="s">
        <v>43</v>
      </c>
      <c r="F9" s="20">
        <v>11</v>
      </c>
    </row>
    <row r="10" spans="2:10">
      <c r="B10" s="11">
        <v>55</v>
      </c>
      <c r="C10" s="13">
        <v>2650</v>
      </c>
    </row>
    <row r="11" spans="2:10" ht="15" thickBot="1">
      <c r="B11" s="11">
        <v>58</v>
      </c>
      <c r="C11" s="13">
        <v>2900</v>
      </c>
      <c r="E11" t="s">
        <v>44</v>
      </c>
    </row>
    <row r="12" spans="2:10">
      <c r="B12" s="11">
        <v>60</v>
      </c>
      <c r="C12" s="13">
        <v>3000</v>
      </c>
      <c r="E12" s="21"/>
      <c r="F12" s="21" t="s">
        <v>49</v>
      </c>
      <c r="G12" s="21" t="s">
        <v>50</v>
      </c>
      <c r="H12" s="21" t="s">
        <v>51</v>
      </c>
      <c r="I12" s="21" t="s">
        <v>52</v>
      </c>
      <c r="J12" s="21" t="s">
        <v>53</v>
      </c>
    </row>
    <row r="13" spans="2:10">
      <c r="B13" s="11">
        <v>62</v>
      </c>
      <c r="C13" s="13">
        <v>1550</v>
      </c>
      <c r="E13" t="s">
        <v>45</v>
      </c>
      <c r="F13">
        <v>1</v>
      </c>
      <c r="G13">
        <v>421814.61332011316</v>
      </c>
      <c r="H13">
        <v>421814.61332011316</v>
      </c>
      <c r="I13">
        <v>0.5221585023088906</v>
      </c>
      <c r="J13">
        <v>0.48827328169756479</v>
      </c>
    </row>
    <row r="14" spans="2:10">
      <c r="B14" s="11">
        <v>65</v>
      </c>
      <c r="C14" s="13">
        <v>1600</v>
      </c>
      <c r="E14" t="s">
        <v>46</v>
      </c>
      <c r="F14">
        <v>9</v>
      </c>
      <c r="G14">
        <v>7270458.1139526144</v>
      </c>
      <c r="H14">
        <v>807828.67932806828</v>
      </c>
    </row>
    <row r="15" spans="2:10" ht="15" thickBot="1">
      <c r="B15" s="11" t="s">
        <v>34</v>
      </c>
      <c r="C15" s="13">
        <v>25500</v>
      </c>
      <c r="E15" s="20" t="s">
        <v>47</v>
      </c>
      <c r="F15" s="20">
        <v>10</v>
      </c>
      <c r="G15" s="20">
        <v>7692272.7272727275</v>
      </c>
      <c r="H15" s="20"/>
      <c r="I15" s="20"/>
      <c r="J15" s="20"/>
    </row>
    <row r="16" spans="2:10" ht="15" thickBot="1"/>
    <row r="17" spans="3:13">
      <c r="E17" s="21"/>
      <c r="F17" s="21" t="s">
        <v>54</v>
      </c>
      <c r="G17" s="21" t="s">
        <v>42</v>
      </c>
      <c r="H17" s="21" t="s">
        <v>55</v>
      </c>
      <c r="I17" s="21" t="s">
        <v>56</v>
      </c>
      <c r="J17" s="21" t="s">
        <v>57</v>
      </c>
      <c r="K17" s="21" t="s">
        <v>58</v>
      </c>
      <c r="L17" s="21" t="s">
        <v>59</v>
      </c>
      <c r="M17" s="21" t="s">
        <v>60</v>
      </c>
    </row>
    <row r="18" spans="3:13">
      <c r="E18" t="s">
        <v>48</v>
      </c>
      <c r="F18">
        <v>1182.1361414065434</v>
      </c>
      <c r="G18">
        <v>1496.251997694553</v>
      </c>
      <c r="H18">
        <v>0.79006487090944311</v>
      </c>
      <c r="I18">
        <v>0.44980444585399526</v>
      </c>
      <c r="J18">
        <v>-2202.6210325293132</v>
      </c>
      <c r="K18">
        <v>4566.8933153424005</v>
      </c>
      <c r="L18">
        <v>-2202.6210325293132</v>
      </c>
      <c r="M18">
        <v>4566.8933153424005</v>
      </c>
    </row>
    <row r="19" spans="3:13" ht="15" thickBot="1">
      <c r="E19" s="20">
        <v>30</v>
      </c>
      <c r="F19" s="20">
        <v>20.886611508085757</v>
      </c>
      <c r="G19" s="20">
        <v>28.904589896653352</v>
      </c>
      <c r="H19" s="20">
        <v>0.72260535723788499</v>
      </c>
      <c r="I19" s="20">
        <v>0.48827328169756457</v>
      </c>
      <c r="J19" s="20">
        <v>-44.500113564373258</v>
      </c>
      <c r="K19" s="20">
        <v>86.273336580544765</v>
      </c>
      <c r="L19" s="20">
        <v>-44.500113564373258</v>
      </c>
      <c r="M19" s="20">
        <v>86.273336580544765</v>
      </c>
    </row>
    <row r="21" spans="3:13" ht="23.5" customHeight="1">
      <c r="C21" s="24" t="s">
        <v>65</v>
      </c>
      <c r="D21" s="27" t="s">
        <v>66</v>
      </c>
      <c r="E21" s="27"/>
      <c r="F21" s="27"/>
      <c r="G21" s="27"/>
      <c r="H21" s="27"/>
      <c r="I21" s="27"/>
      <c r="J21" s="27"/>
      <c r="K21" s="27"/>
      <c r="L21" s="27"/>
      <c r="M21" s="27"/>
    </row>
    <row r="22" spans="3:13" ht="23.5" customHeight="1">
      <c r="D22" s="27"/>
      <c r="E22" s="27"/>
      <c r="F22" s="27"/>
      <c r="G22" s="27"/>
      <c r="H22" s="27"/>
      <c r="I22" s="27"/>
      <c r="J22" s="27"/>
      <c r="K22" s="27"/>
      <c r="L22" s="27"/>
      <c r="M22" s="27"/>
    </row>
    <row r="24" spans="3:13">
      <c r="E24" s="23"/>
      <c r="F24" s="23"/>
    </row>
    <row r="25" spans="3:13">
      <c r="C25" t="s">
        <v>67</v>
      </c>
    </row>
    <row r="27" spans="3:13" ht="28" customHeight="1">
      <c r="C27" s="27" t="s">
        <v>68</v>
      </c>
      <c r="D27" s="27"/>
      <c r="E27" s="27"/>
      <c r="F27" s="27"/>
      <c r="G27" s="27"/>
      <c r="H27" s="27"/>
      <c r="I27" s="27"/>
      <c r="J27" s="27"/>
      <c r="K27" s="27"/>
      <c r="L27" s="27"/>
      <c r="M27" s="27"/>
    </row>
    <row r="28" spans="3:13" ht="29" customHeight="1">
      <c r="C28" s="27" t="s">
        <v>69</v>
      </c>
      <c r="D28" s="27"/>
      <c r="E28" s="27"/>
      <c r="F28" s="27"/>
      <c r="G28" s="27"/>
      <c r="H28" s="27"/>
      <c r="I28" s="27"/>
      <c r="J28" s="27"/>
      <c r="K28" s="27"/>
      <c r="L28" s="27"/>
      <c r="M28" s="27"/>
    </row>
    <row r="29" spans="3:13">
      <c r="C29" s="27" t="s">
        <v>70</v>
      </c>
      <c r="D29" s="27"/>
      <c r="E29" s="27"/>
      <c r="F29" s="27"/>
      <c r="G29" s="27"/>
      <c r="H29" s="27"/>
      <c r="I29" s="27"/>
      <c r="J29" s="27"/>
      <c r="K29" s="27"/>
      <c r="L29" s="27"/>
      <c r="M29" s="27"/>
    </row>
    <row r="30" spans="3:13" ht="29.5" customHeight="1">
      <c r="C30" s="27" t="s">
        <v>71</v>
      </c>
      <c r="D30" s="27"/>
      <c r="E30" s="27"/>
      <c r="F30" s="27"/>
      <c r="G30" s="27"/>
      <c r="H30" s="27"/>
      <c r="I30" s="27"/>
      <c r="J30" s="27"/>
      <c r="K30" s="27"/>
      <c r="L30" s="27"/>
      <c r="M30" s="27"/>
    </row>
    <row r="32" spans="3:13">
      <c r="C32" s="27"/>
      <c r="D32" s="27"/>
      <c r="E32" s="27"/>
      <c r="F32" s="27"/>
      <c r="G32" s="27"/>
      <c r="H32" s="27"/>
      <c r="I32" s="27"/>
      <c r="J32" s="27"/>
      <c r="K32" s="27"/>
      <c r="L32" s="27"/>
      <c r="M32" s="27"/>
    </row>
  </sheetData>
  <mergeCells count="6">
    <mergeCell ref="C32:M32"/>
    <mergeCell ref="D21:M22"/>
    <mergeCell ref="C27:M27"/>
    <mergeCell ref="C28:M28"/>
    <mergeCell ref="C29:M29"/>
    <mergeCell ref="C30:M3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9B95F-63C8-47CC-B252-CDE2E53E6EAC}">
  <dimension ref="A1:E57"/>
  <sheetViews>
    <sheetView topLeftCell="A25" zoomScale="64" zoomScaleNormal="100" workbookViewId="0">
      <selection activeCell="O57" sqref="O57"/>
    </sheetView>
  </sheetViews>
  <sheetFormatPr defaultRowHeight="14.5"/>
  <cols>
    <col min="1" max="1" width="10.08984375" bestFit="1" customWidth="1"/>
    <col min="2" max="2" width="10" customWidth="1"/>
    <col min="3" max="3" width="13.90625" customWidth="1"/>
    <col min="4" max="4" width="16.26953125" customWidth="1"/>
    <col min="5" max="5" width="16.7265625" customWidth="1"/>
  </cols>
  <sheetData>
    <row r="1" spans="1:5" s="25" customFormat="1" ht="29">
      <c r="A1" s="25" t="s">
        <v>1</v>
      </c>
      <c r="B1" s="25" t="s">
        <v>6</v>
      </c>
      <c r="C1" s="25" t="s">
        <v>72</v>
      </c>
      <c r="D1" s="25" t="s">
        <v>73</v>
      </c>
      <c r="E1" s="25" t="s">
        <v>74</v>
      </c>
    </row>
    <row r="2" spans="1:5">
      <c r="A2" s="18">
        <v>44562</v>
      </c>
      <c r="B2" s="13">
        <v>1000</v>
      </c>
    </row>
    <row r="3" spans="1:5">
      <c r="A3" s="18">
        <v>44563</v>
      </c>
      <c r="B3" s="13">
        <v>1200</v>
      </c>
    </row>
    <row r="4" spans="1:5">
      <c r="A4" s="18">
        <v>44564</v>
      </c>
      <c r="B4" s="13">
        <v>1500</v>
      </c>
    </row>
    <row r="5" spans="1:5">
      <c r="A5" s="18">
        <v>44565</v>
      </c>
      <c r="B5" s="13">
        <v>800</v>
      </c>
    </row>
    <row r="6" spans="1:5">
      <c r="A6" s="18">
        <v>44566</v>
      </c>
      <c r="B6" s="13">
        <v>1100</v>
      </c>
    </row>
    <row r="7" spans="1:5">
      <c r="A7" s="18">
        <v>44567</v>
      </c>
      <c r="B7" s="13">
        <v>1300</v>
      </c>
    </row>
    <row r="8" spans="1:5">
      <c r="A8" s="18">
        <v>44568</v>
      </c>
      <c r="B8" s="13">
        <v>900</v>
      </c>
    </row>
    <row r="9" spans="1:5">
      <c r="A9" s="18">
        <v>44569</v>
      </c>
      <c r="B9" s="13">
        <v>1250</v>
      </c>
    </row>
    <row r="10" spans="1:5">
      <c r="A10" s="18">
        <v>44570</v>
      </c>
      <c r="B10" s="13">
        <v>1450</v>
      </c>
    </row>
    <row r="11" spans="1:5">
      <c r="A11" s="18">
        <v>44571</v>
      </c>
      <c r="B11" s="13">
        <v>1150</v>
      </c>
    </row>
    <row r="12" spans="1:5">
      <c r="A12" s="18">
        <v>44572</v>
      </c>
      <c r="B12" s="13">
        <v>1400</v>
      </c>
    </row>
    <row r="13" spans="1:5">
      <c r="A13" s="18">
        <v>44573</v>
      </c>
      <c r="B13" s="13">
        <v>1550</v>
      </c>
    </row>
    <row r="14" spans="1:5">
      <c r="A14" s="18">
        <v>44574</v>
      </c>
      <c r="B14" s="13">
        <v>1200</v>
      </c>
    </row>
    <row r="15" spans="1:5">
      <c r="A15" s="18">
        <v>44575</v>
      </c>
      <c r="B15" s="13">
        <v>1350</v>
      </c>
    </row>
    <row r="16" spans="1:5">
      <c r="A16" s="18">
        <v>44576</v>
      </c>
      <c r="B16" s="13">
        <v>1250</v>
      </c>
    </row>
    <row r="17" spans="1:5">
      <c r="A17" s="18">
        <v>44577</v>
      </c>
      <c r="B17" s="13">
        <v>1600</v>
      </c>
    </row>
    <row r="18" spans="1:5">
      <c r="A18" s="18">
        <v>44578</v>
      </c>
      <c r="B18" s="13">
        <v>1150</v>
      </c>
    </row>
    <row r="19" spans="1:5">
      <c r="A19" s="18">
        <v>44579</v>
      </c>
      <c r="B19" s="13">
        <v>1450</v>
      </c>
    </row>
    <row r="20" spans="1:5">
      <c r="A20" s="18">
        <v>44580</v>
      </c>
      <c r="B20" s="13">
        <v>1400</v>
      </c>
    </row>
    <row r="21" spans="1:5">
      <c r="A21" s="18">
        <v>44581</v>
      </c>
      <c r="B21" s="13">
        <v>1500</v>
      </c>
      <c r="C21" s="13">
        <v>1500</v>
      </c>
      <c r="D21" s="13">
        <v>1500</v>
      </c>
      <c r="E21" s="13">
        <v>1500</v>
      </c>
    </row>
    <row r="22" spans="1:5">
      <c r="A22" s="18">
        <v>44582</v>
      </c>
      <c r="C22" s="13">
        <f>_xlfn.FORECAST.ETS(A22,$B$2:$B$21,$A$2:$A$21,1,1)</f>
        <v>1467.5856573093602</v>
      </c>
      <c r="D22" s="13">
        <f>C22-_xlfn.FORECAST.ETS.CONFINT(A22,$B$2:$B$21,$A$2:$A$21,0.95,1,1)</f>
        <v>1082.5160612344462</v>
      </c>
      <c r="E22" s="13">
        <f>C22+_xlfn.FORECAST.ETS.CONFINT(A22,$B$2:$B$21,$A$2:$A$21,0.95,1,1)</f>
        <v>1852.6552533842741</v>
      </c>
    </row>
    <row r="23" spans="1:5">
      <c r="A23" s="18">
        <v>44583</v>
      </c>
      <c r="C23" s="13">
        <f>_xlfn.FORECAST.ETS(A23,$B$2:$B$21,$A$2:$A$21,1,1)</f>
        <v>1487.3073535852238</v>
      </c>
      <c r="D23" s="13">
        <f>C23-_xlfn.FORECAST.ETS.CONFINT(A23,$B$2:$B$21,$A$2:$A$21,0.95,1,1)</f>
        <v>1100.278693461883</v>
      </c>
      <c r="E23" s="13">
        <f>C23+_xlfn.FORECAST.ETS.CONFINT(A23,$B$2:$B$21,$A$2:$A$21,0.95,1,1)</f>
        <v>1874.3360137085647</v>
      </c>
    </row>
    <row r="24" spans="1:5">
      <c r="A24" s="18">
        <v>44584</v>
      </c>
      <c r="C24" s="13">
        <f>_xlfn.FORECAST.ETS(A24,$B$2:$B$21,$A$2:$A$21,1,1)</f>
        <v>1507.0290498610873</v>
      </c>
      <c r="D24" s="13">
        <f>C24-_xlfn.FORECAST.ETS.CONFINT(A24,$B$2:$B$21,$A$2:$A$21,0.95,1,1)</f>
        <v>1118.0125023377391</v>
      </c>
      <c r="E24" s="13">
        <f>C24+_xlfn.FORECAST.ETS.CONFINT(A24,$B$2:$B$21,$A$2:$A$21,0.95,1,1)</f>
        <v>1896.0455973844355</v>
      </c>
    </row>
    <row r="25" spans="1:5">
      <c r="A25" s="18">
        <v>44585</v>
      </c>
      <c r="C25" s="13">
        <f>_xlfn.FORECAST.ETS(A25,$B$2:$B$21,$A$2:$A$21,1,1)</f>
        <v>1526.750746136951</v>
      </c>
      <c r="D25" s="13">
        <f>C25-_xlfn.FORECAST.ETS.CONFINT(A25,$B$2:$B$21,$A$2:$A$21,0.95,1,1)</f>
        <v>1135.7175482510995</v>
      </c>
      <c r="E25" s="13">
        <f>C25+_xlfn.FORECAST.ETS.CONFINT(A25,$B$2:$B$21,$A$2:$A$21,0.95,1,1)</f>
        <v>1917.7839440228024</v>
      </c>
    </row>
    <row r="26" spans="1:5">
      <c r="A26" s="18">
        <v>44586</v>
      </c>
      <c r="C26" s="13">
        <f>_xlfn.FORECAST.ETS(A26,$B$2:$B$21,$A$2:$A$21,1,1)</f>
        <v>1546.4724424128146</v>
      </c>
      <c r="D26" s="13">
        <f>C26-_xlfn.FORECAST.ETS.CONFINT(A26,$B$2:$B$21,$A$2:$A$21,0.95,1,1)</f>
        <v>1153.3938966746803</v>
      </c>
      <c r="E26" s="13">
        <f>C26+_xlfn.FORECAST.ETS.CONFINT(A26,$B$2:$B$21,$A$2:$A$21,0.95,1,1)</f>
        <v>1939.550988150949</v>
      </c>
    </row>
    <row r="28" spans="1:5">
      <c r="B28" t="s">
        <v>75</v>
      </c>
    </row>
    <row r="30" spans="1:5">
      <c r="B30" t="s">
        <v>76</v>
      </c>
    </row>
    <row r="32" spans="1:5">
      <c r="B32" t="s">
        <v>77</v>
      </c>
    </row>
    <row r="34" spans="2:4">
      <c r="B34" t="s">
        <v>78</v>
      </c>
    </row>
    <row r="36" spans="2:4">
      <c r="B36" t="s">
        <v>79</v>
      </c>
    </row>
    <row r="38" spans="2:4">
      <c r="B38" t="s">
        <v>80</v>
      </c>
    </row>
    <row r="40" spans="2:4">
      <c r="B40" t="s">
        <v>81</v>
      </c>
    </row>
    <row r="43" spans="2:4">
      <c r="B43" s="14" t="s">
        <v>33</v>
      </c>
      <c r="C43" s="14" t="s">
        <v>82</v>
      </c>
      <c r="D43" s="14" t="s">
        <v>83</v>
      </c>
    </row>
    <row r="44" spans="2:4">
      <c r="B44" s="11">
        <v>30</v>
      </c>
      <c r="C44" s="26">
        <v>800</v>
      </c>
      <c r="D44">
        <f>403.03+35.02*B44</f>
        <v>1453.63</v>
      </c>
    </row>
    <row r="45" spans="2:4">
      <c r="B45" s="11">
        <v>35</v>
      </c>
      <c r="C45" s="26">
        <v>900</v>
      </c>
      <c r="D45">
        <f t="shared" ref="D45:D55" si="0">403.03+35.02*B45</f>
        <v>1628.73</v>
      </c>
    </row>
    <row r="46" spans="2:4">
      <c r="B46" s="11">
        <v>40</v>
      </c>
      <c r="C46" s="26">
        <v>2400</v>
      </c>
      <c r="D46">
        <f t="shared" si="0"/>
        <v>1803.8300000000002</v>
      </c>
    </row>
    <row r="47" spans="2:4">
      <c r="B47" s="11">
        <v>42</v>
      </c>
      <c r="C47" s="26">
        <v>2300</v>
      </c>
      <c r="D47">
        <f t="shared" si="0"/>
        <v>1873.8700000000001</v>
      </c>
    </row>
    <row r="48" spans="2:4">
      <c r="B48" s="11">
        <v>45</v>
      </c>
      <c r="C48" s="26">
        <v>1100</v>
      </c>
      <c r="D48">
        <f t="shared" si="0"/>
        <v>1978.93</v>
      </c>
    </row>
    <row r="49" spans="2:4">
      <c r="B49" s="11">
        <v>48</v>
      </c>
      <c r="C49" s="26">
        <v>2500</v>
      </c>
      <c r="D49">
        <f t="shared" si="0"/>
        <v>2083.9899999999998</v>
      </c>
    </row>
    <row r="50" spans="2:4">
      <c r="B50" s="11">
        <v>50</v>
      </c>
      <c r="C50" s="26">
        <v>3800</v>
      </c>
      <c r="D50">
        <f t="shared" si="0"/>
        <v>2154.0300000000002</v>
      </c>
    </row>
    <row r="51" spans="2:4">
      <c r="B51" s="11">
        <v>55</v>
      </c>
      <c r="C51" s="26">
        <v>2650</v>
      </c>
      <c r="D51">
        <f t="shared" si="0"/>
        <v>2329.13</v>
      </c>
    </row>
    <row r="52" spans="2:4">
      <c r="B52" s="11">
        <v>58</v>
      </c>
      <c r="C52" s="26">
        <v>2900</v>
      </c>
      <c r="D52">
        <f t="shared" si="0"/>
        <v>2434.19</v>
      </c>
    </row>
    <row r="53" spans="2:4">
      <c r="B53" s="11">
        <v>60</v>
      </c>
      <c r="C53" s="26">
        <v>3000</v>
      </c>
      <c r="D53">
        <f t="shared" si="0"/>
        <v>2504.2300000000005</v>
      </c>
    </row>
    <row r="54" spans="2:4">
      <c r="B54" s="11">
        <v>62</v>
      </c>
      <c r="C54" s="26">
        <v>1550</v>
      </c>
      <c r="D54">
        <f t="shared" si="0"/>
        <v>2574.2700000000004</v>
      </c>
    </row>
    <row r="55" spans="2:4">
      <c r="B55" s="11">
        <v>65</v>
      </c>
      <c r="C55" s="26">
        <v>1600</v>
      </c>
      <c r="D55">
        <f t="shared" si="0"/>
        <v>2679.33</v>
      </c>
    </row>
    <row r="57" spans="2:4">
      <c r="B57" t="s">
        <v>84</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TaskDetail</vt:lpstr>
      <vt:lpstr>DataSet</vt:lpstr>
      <vt:lpstr>Task1</vt:lpstr>
      <vt:lpstr>Task2</vt:lpstr>
      <vt:lpstr>Task3</vt:lpstr>
      <vt:lpstr>Task4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Ketan Mistry</cp:lastModifiedBy>
  <dcterms:created xsi:type="dcterms:W3CDTF">2015-06-05T18:17:20Z</dcterms:created>
  <dcterms:modified xsi:type="dcterms:W3CDTF">2026-10-22T16:28:53Z</dcterms:modified>
</cp:coreProperties>
</file>