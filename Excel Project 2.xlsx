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mc:AlternateContent xmlns:mc="http://schemas.openxmlformats.org/markup-compatibility/2006">
    <mc:Choice Requires="x15">
      <x15ac:absPath xmlns:x15ac="http://schemas.microsoft.com/office/spreadsheetml/2010/11/ac" url="C:\Users\DELL\Downloads\"/>
    </mc:Choice>
  </mc:AlternateContent>
  <xr:revisionPtr revIDLastSave="0" documentId="13_ncr:1_{D1482104-8076-43A5-B443-9F48A85429C8}" xr6:coauthVersionLast="47" xr6:coauthVersionMax="47" xr10:uidLastSave="{00000000-0000-0000-0000-000000000000}"/>
  <bookViews>
    <workbookView xWindow="-110" yWindow="-110" windowWidth="19420" windowHeight="10300" xr2:uid="{00000000-000D-0000-FFFF-FFFF00000000}"/>
  </bookViews>
  <sheets>
    <sheet name="Sheet 1" sheetId="1" r:id="rId1"/>
  </sheets>
  <definedNames>
    <definedName name="Slicer_Publication_Year">#N/A</definedName>
    <definedName name="Slicer_Times_Borrowed">#N/A</definedName>
  </definedNames>
  <calcPr calcId="191029"/>
  <pivotCaches>
    <pivotCache cacheId="9" r:id="rId2"/>
  </pivotCaches>
  <extLst>
    <ext xmlns:x14="http://schemas.microsoft.com/office/spreadsheetml/2009/9/main" uri="{BBE1A952-AA13-448e-AADC-164F8A28A991}">
      <x14:slicerCaches>
        <x14:slicerCache r:id="rId3"/>
        <x14:slicerCache r:id="rId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03" i="1" l="1"/>
  <c r="D68" i="1"/>
  <c r="D69" i="1"/>
  <c r="D70" i="1"/>
  <c r="D71" i="1"/>
  <c r="D72" i="1"/>
  <c r="D73" i="1"/>
  <c r="D74" i="1"/>
  <c r="D75" i="1"/>
  <c r="D76" i="1"/>
  <c r="D67" i="1"/>
  <c r="C61" i="1"/>
  <c r="C58" i="1"/>
  <c r="C57" i="1"/>
  <c r="C55" i="1"/>
  <c r="C54" i="1"/>
  <c r="C56" i="1"/>
  <c r="C59" i="1"/>
  <c r="C60" i="1"/>
  <c r="C62" i="1"/>
  <c r="C63" i="1"/>
  <c r="C53" i="1"/>
  <c r="B41" i="1"/>
  <c r="B42" i="1"/>
  <c r="B43" i="1"/>
  <c r="B44" i="1"/>
  <c r="B45" i="1"/>
  <c r="B46" i="1"/>
  <c r="B47" i="1"/>
  <c r="B48" i="1"/>
  <c r="B49" i="1"/>
  <c r="B40" i="1"/>
  <c r="C28" i="1"/>
  <c r="C29" i="1"/>
  <c r="C30" i="1"/>
  <c r="C31" i="1"/>
  <c r="C32" i="1"/>
  <c r="C33" i="1"/>
  <c r="C34" i="1"/>
  <c r="C35" i="1"/>
  <c r="C36" i="1"/>
  <c r="C27" i="1"/>
  <c r="D23" i="1"/>
  <c r="B19" i="1" a="1"/>
  <c r="B19" i="1" s="1"/>
  <c r="G15" i="1"/>
  <c r="F15" i="1"/>
  <c r="E15" i="1"/>
  <c r="D15" i="1"/>
  <c r="C15" i="1"/>
  <c r="B15" i="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<sst xmlns="http://schemas.openxmlformats.org/spreadsheetml/2006/main" count="116" uniqueCount="66">
  <si>
    <t>Book ID</t>
  </si>
  <si>
    <t>Title</t>
  </si>
  <si>
    <t>Author</t>
  </si>
  <si>
    <t>Genre</t>
  </si>
  <si>
    <t>Publication Year</t>
  </si>
  <si>
    <t>Copies Available</t>
  </si>
  <si>
    <t>Times Borrowed</t>
  </si>
  <si>
    <t>The Lord of the Rings</t>
  </si>
  <si>
    <t>J.R.R. Tolkien</t>
  </si>
  <si>
    <t>Fantasy</t>
  </si>
  <si>
    <t>Harry Potter and the Sorcerer's Stone</t>
  </si>
  <si>
    <t>J.K. Rowling</t>
  </si>
  <si>
    <t>The Hunger Games</t>
  </si>
  <si>
    <t>Suzanne Collins</t>
  </si>
  <si>
    <t>Dystopian</t>
  </si>
  <si>
    <t>To Kill a Mockingbird</t>
  </si>
  <si>
    <t>Harper Lee</t>
  </si>
  <si>
    <t>Classic</t>
  </si>
  <si>
    <t>Pride and Prejudice</t>
  </si>
  <si>
    <t>Jane Austen</t>
  </si>
  <si>
    <t>The Martian</t>
  </si>
  <si>
    <t>Andy Weir</t>
  </si>
  <si>
    <t>Sci-Fi</t>
  </si>
  <si>
    <t>George Orwell</t>
  </si>
  <si>
    <t>Animal Farm</t>
  </si>
  <si>
    <t>The Book Thief</t>
  </si>
  <si>
    <t>Markus Zusak</t>
  </si>
  <si>
    <t>Historical Fiction</t>
  </si>
  <si>
    <t>The Fault in Our Stars</t>
  </si>
  <si>
    <t>John Green</t>
  </si>
  <si>
    <t>Romance</t>
  </si>
  <si>
    <t>Use VLOOKUP to find the author of a specific book based on its title (e.g., "The Hunger Games")</t>
  </si>
  <si>
    <t>Implement XLOOKUP to retrieve the number of copies available for a book with a specific ID (e.g., 3)</t>
  </si>
  <si>
    <t>Create a formula that dynamically retrieves the genre of a book based on its title using the INDEX and MATCH functions in combination.</t>
  </si>
  <si>
    <t>Use the IF function to categorize books as "Popular" if they have been borrowed more than 100 times, "Moderately Popular" between 50-100 times, and "Less Popular" below 50 times</t>
  </si>
  <si>
    <t>Combine the IF and AND functions to identify books published after 2000 and belonging to the Fantasy genre.</t>
  </si>
  <si>
    <t>Extract the first word from the book title using the LEFT function (e.g., "The" from "The Lord of the Rings")</t>
  </si>
  <si>
    <t>Use the CONCATENATE function to combine the author's first and last name into a single cell.</t>
  </si>
  <si>
    <t>Tolkien</t>
  </si>
  <si>
    <t>Rowling</t>
  </si>
  <si>
    <t>Collins</t>
  </si>
  <si>
    <t>Lee</t>
  </si>
  <si>
    <t>Austen</t>
  </si>
  <si>
    <t>Weir</t>
  </si>
  <si>
    <t>Orwell</t>
  </si>
  <si>
    <t>Zusak</t>
  </si>
  <si>
    <t>Green</t>
  </si>
  <si>
    <t>J.R.R.</t>
  </si>
  <si>
    <t>J.K.</t>
  </si>
  <si>
    <t>Suzanne</t>
  </si>
  <si>
    <t>Harper</t>
  </si>
  <si>
    <t>Jane</t>
  </si>
  <si>
    <t>Andy</t>
  </si>
  <si>
    <t>George</t>
  </si>
  <si>
    <t>Markus</t>
  </si>
  <si>
    <t>John</t>
  </si>
  <si>
    <t>First Name</t>
  </si>
  <si>
    <t>Last Name</t>
  </si>
  <si>
    <t>Concate</t>
  </si>
  <si>
    <t>Create a PivotTable to analyze the data by genre, summarizing the total number of copies available, times borrowed, and average borrowing frequency per book</t>
  </si>
  <si>
    <t>Row Labels</t>
  </si>
  <si>
    <t>Grand Total</t>
  </si>
  <si>
    <t>Sum of Copies Available</t>
  </si>
  <si>
    <t>Average of Times Borrowed</t>
  </si>
  <si>
    <t>Utilize slicers to filter the PivotTable by publication year and identify trends in borrowing patterns over time</t>
  </si>
  <si>
    <t>Use the COUNTIFS function within the PivotTable to analyze the number of books in each genre that fall under the "Popular," "Moderately Popular," and "Less Popular" categories.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</si>
</sst>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0"/>
      <color rgb="FF000000"/>
      <name val="Arial"/>
      <scheme val="minor"/>
    </font>
    <font>
      <b/>
      <sz val="11"/>
      <color theme="1"/>
      <name val="Arial"/>
      <scheme val="minor"/>
    </font>
    <font>
      <sz val="10"/>
      <color theme="1"/>
      <name val="Arial"/>
      <scheme val="minor"/>
    </font>
    <font>
      <b/>
      <sz val="11"/>
      <color theme="1"/>
      <name val="Arial"/>
      <family val="2"/>
      <scheme val="minor"/>
    </font>
    <font>
      <sz val="10"/>
      <color rgb="FF000000"/>
      <name val="Arial"/>
      <family val="2"/>
      <scheme val="minor"/>
    </font>
    <font>
      <sz val="10"/>
      <color theme="1"/>
      <name val="Arial"/>
      <family val="2"/>
      <scheme val="minor"/>
    </font>
  </fonts>
  <fills count="3">
    <fill>
      <patternFill patternType="none"/>
    </fill>
    <fill>
      <patternFill patternType="gray125"/>
    </fill>
    <fill>
      <patternFill patternType="solid">
        <fgColor rgb="FF00FFFF"/>
        <bgColor rgb="FF00FFFF"/>
      </patternFill>
    </fill>
  </fills>
  <borders count="5">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1">
    <xf numFmtId="0" fontId="0" fillId="0" borderId="0" xfId="0"/>
    <xf numFmtId="0" fontId="1" fillId="2" borderId="1" xfId="0" applyFont="1" applyFill="1" applyBorder="1"/>
    <xf numFmtId="0" fontId="2" fillId="0" borderId="1" xfId="0" applyFont="1" applyBorder="1"/>
    <xf numFmtId="0" fontId="2" fillId="0" borderId="1" xfId="0" applyFont="1" applyBorder="1" applyAlignment="1">
      <alignment horizontal="left"/>
    </xf>
    <xf numFmtId="0" fontId="2" fillId="0" borderId="0" xfId="0" applyFont="1" applyFill="1" applyBorder="1"/>
    <xf numFmtId="0" fontId="4" fillId="0" borderId="0" xfId="0" applyFont="1"/>
    <xf numFmtId="0" fontId="1" fillId="2" borderId="2" xfId="0" applyFont="1" applyFill="1" applyBorder="1"/>
    <xf numFmtId="0" fontId="0" fillId="0" borderId="2" xfId="0" applyBorder="1"/>
    <xf numFmtId="0" fontId="2" fillId="0" borderId="2" xfId="0" applyFont="1" applyBorder="1"/>
    <xf numFmtId="0" fontId="5" fillId="0" borderId="0" xfId="0" applyFont="1" applyFill="1" applyBorder="1"/>
    <xf numFmtId="0" fontId="1" fillId="2" borderId="3" xfId="0" applyFont="1" applyFill="1" applyBorder="1"/>
    <xf numFmtId="0" fontId="2" fillId="0" borderId="3" xfId="0" applyFont="1" applyBorder="1"/>
    <xf numFmtId="0" fontId="1" fillId="0" borderId="0" xfId="0" applyFont="1" applyFill="1" applyBorder="1"/>
    <xf numFmtId="0" fontId="0" fillId="0" borderId="0" xfId="0" applyFill="1" applyBorder="1"/>
    <xf numFmtId="0" fontId="2" fillId="0" borderId="4" xfId="0" applyFont="1" applyBorder="1"/>
    <xf numFmtId="0" fontId="3" fillId="2" borderId="2" xfId="0" applyFont="1" applyFill="1" applyBorder="1"/>
    <xf numFmtId="0" fontId="5" fillId="0" borderId="2" xfId="0" applyFont="1" applyBorder="1"/>
    <xf numFmtId="0" fontId="4" fillId="0" borderId="2" xfId="0" applyFont="1" applyBorder="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0"/>
  <tableStyles count="1" defaultTableStyle="TableStyleMedium2" defaultPivotStyle="PivotStyleLight16">
    <tableStyle name="Invisible" pivot="0" table="0" count="0" xr9:uid="{7E90ACB3-9817-4962-87B3-EFAEB5E11384}"/>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3" Type="http://schemas.microsoft.com/office/2007/relationships/slicerCache" Target="slicerCaches/slicerCache1.xml"/><Relationship Id="rId7" Type="http://schemas.openxmlformats.org/officeDocument/2006/relationships/sharedStrings" Target="sharedStrings.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microsoft.com/office/2007/relationships/slicerCache" Target="slicerCaches/slicerCache2.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0</xdr:col>
      <xdr:colOff>476250</xdr:colOff>
      <xdr:row>88</xdr:row>
      <xdr:rowOff>165100</xdr:rowOff>
    </xdr:from>
    <xdr:to>
      <xdr:col>2</xdr:col>
      <xdr:colOff>781050</xdr:colOff>
      <xdr:row>100</xdr:row>
      <xdr:rowOff>136522</xdr:rowOff>
    </xdr:to>
    <mc:AlternateContent xmlns:mc="http://schemas.openxmlformats.org/markup-compatibility/2006">
      <mc:Choice xmlns:a14="http://schemas.microsoft.com/office/drawing/2010/main" Requires="a14">
        <xdr:graphicFrame macro="">
          <xdr:nvGraphicFramePr>
            <xdr:cNvPr id="2" name="Publication Year">
              <a:extLst>
                <a:ext uri="{FF2B5EF4-FFF2-40B4-BE49-F238E27FC236}">
                  <a16:creationId xmlns:a16="http://schemas.microsoft.com/office/drawing/2014/main" id="{B9759510-FDEB-C6E2-07C6-B64B9CD31447}"/>
                </a:ext>
              </a:extLst>
            </xdr:cNvPr>
            <xdr:cNvGraphicFramePr/>
          </xdr:nvGraphicFramePr>
          <xdr:xfrm>
            <a:off x="0" y="0"/>
            <a:ext cx="0" cy="0"/>
          </xdr:xfrm>
          <a:graphic>
            <a:graphicData uri="http://schemas.microsoft.com/office/drawing/2010/slicer">
              <sle:slicer xmlns:sle="http://schemas.microsoft.com/office/drawing/2010/slicer" name="Publication Year"/>
            </a:graphicData>
          </a:graphic>
        </xdr:graphicFrame>
      </mc:Choice>
      <mc:Fallback>
        <xdr:sp macro="" textlink="">
          <xdr:nvSpPr>
            <xdr:cNvPr id="0" name=""/>
            <xdr:cNvSpPr>
              <a:spLocks noTextEdit="1"/>
            </xdr:cNvSpPr>
          </xdr:nvSpPr>
          <xdr:spPr>
            <a:xfrm>
              <a:off x="476250" y="1746885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869950</xdr:colOff>
      <xdr:row>88</xdr:row>
      <xdr:rowOff>177800</xdr:rowOff>
    </xdr:from>
    <xdr:to>
      <xdr:col>3</xdr:col>
      <xdr:colOff>1174750</xdr:colOff>
      <xdr:row>100</xdr:row>
      <xdr:rowOff>149222</xdr:rowOff>
    </xdr:to>
    <mc:AlternateContent xmlns:mc="http://schemas.openxmlformats.org/markup-compatibility/2006">
      <mc:Choice xmlns:a14="http://schemas.microsoft.com/office/drawing/2010/main" Requires="a14">
        <xdr:graphicFrame macro="">
          <xdr:nvGraphicFramePr>
            <xdr:cNvPr id="3" name="Times Borrowed">
              <a:extLst>
                <a:ext uri="{FF2B5EF4-FFF2-40B4-BE49-F238E27FC236}">
                  <a16:creationId xmlns:a16="http://schemas.microsoft.com/office/drawing/2014/main" id="{6D4E4CCC-7CBA-BCA6-1E39-ABB43FC7DF00}"/>
                </a:ext>
              </a:extLst>
            </xdr:cNvPr>
            <xdr:cNvGraphicFramePr/>
          </xdr:nvGraphicFramePr>
          <xdr:xfrm>
            <a:off x="0" y="0"/>
            <a:ext cx="0" cy="0"/>
          </xdr:xfrm>
          <a:graphic>
            <a:graphicData uri="http://schemas.microsoft.com/office/drawing/2010/slicer">
              <sle:slicer xmlns:sle="http://schemas.microsoft.com/office/drawing/2010/slicer" name="Times Borrowed"/>
            </a:graphicData>
          </a:graphic>
        </xdr:graphicFrame>
      </mc:Choice>
      <mc:Fallback>
        <xdr:sp macro="" textlink="">
          <xdr:nvSpPr>
            <xdr:cNvPr id="0" name=""/>
            <xdr:cNvSpPr>
              <a:spLocks noTextEdit="1"/>
            </xdr:cNvSpPr>
          </xdr:nvSpPr>
          <xdr:spPr>
            <a:xfrm>
              <a:off x="2393950" y="17481550"/>
              <a:ext cx="1828800" cy="233362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5874.926276388891" createdVersion="8" refreshedVersion="8" minRefreshableVersion="3" recordCount="10" xr:uid="{2A212AFB-D454-4FA9-98A9-222AAC658759}">
  <cacheSource type="worksheet">
    <worksheetSource ref="A1:G11" sheet="Sheet 1"/>
  </cacheSource>
  <cacheFields count="7">
    <cacheField name="Book ID" numFmtId="0">
      <sharedItems containsSemiMixedTypes="0" containsString="0" containsNumber="1" containsInteger="1" minValue="1" maxValue="10"/>
    </cacheField>
    <cacheField name="Title" numFmtId="0">
      <sharedItems containsMixedTypes="1" containsNumber="1" containsInteger="1" minValue="1984" maxValue="1984"/>
    </cacheField>
    <cacheField name="Author" numFmtId="0">
      <sharedItems/>
    </cacheField>
    <cacheField name="Genre" numFmtId="0">
      <sharedItems count="6">
        <s v="Fantasy"/>
        <s v="Dystopian"/>
        <s v="Classic"/>
        <s v="Sci-Fi"/>
        <s v="Historical Fiction"/>
        <s v="Romance"/>
      </sharedItems>
    </cacheField>
    <cacheField name="Publication Year" numFmtId="0">
      <sharedItems containsSemiMixedTypes="0" containsString="0" containsNumber="1" containsInteger="1" minValue="1813" maxValue="2012" count="10">
        <n v="1954"/>
        <n v="1997"/>
        <n v="2008"/>
        <n v="1960"/>
        <n v="1813"/>
        <n v="2011"/>
        <n v="1949"/>
        <n v="1945"/>
        <n v="2005"/>
        <n v="2012"/>
      </sharedItems>
    </cacheField>
    <cacheField name="Copies Available" numFmtId="0">
      <sharedItems containsSemiMixedTypes="0" containsString="0" containsNumber="1" containsInteger="1" minValue="1" maxValue="8"/>
    </cacheField>
    <cacheField name="Times Borrowed" numFmtId="0">
      <sharedItems containsSemiMixedTypes="0" containsString="0" containsNumber="1" containsInteger="1" minValue="30" maxValue="150" count="10">
        <n v="120"/>
        <n v="150"/>
        <n v="80"/>
        <n v="95"/>
        <n v="50"/>
        <n v="75"/>
        <n v="60"/>
        <n v="30"/>
        <n v="100"/>
        <n v="45"/>
      </sharedItems>
    </cacheField>
  </cacheFields>
  <extLst>
    <ext xmlns:x14="http://schemas.microsoft.com/office/spreadsheetml/2009/9/main" uri="{725AE2AE-9491-48be-B2B4-4EB974FC3084}">
      <x14:pivotCacheDefinition pivotCacheId="193383115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n v="1"/>
    <s v="The Lord of the Rings"/>
    <s v="J.R.R. Tolkien"/>
    <x v="0"/>
    <x v="0"/>
    <n v="5"/>
    <x v="0"/>
  </r>
  <r>
    <n v="2"/>
    <s v="Harry Potter and the Sorcerer's Stone"/>
    <s v="J.K. Rowling"/>
    <x v="0"/>
    <x v="1"/>
    <n v="8"/>
    <x v="1"/>
  </r>
  <r>
    <n v="3"/>
    <s v="The Hunger Games"/>
    <s v="Suzanne Collins"/>
    <x v="1"/>
    <x v="2"/>
    <n v="3"/>
    <x v="2"/>
  </r>
  <r>
    <n v="4"/>
    <s v="To Kill a Mockingbird"/>
    <s v="Harper Lee"/>
    <x v="2"/>
    <x v="3"/>
    <n v="4"/>
    <x v="3"/>
  </r>
  <r>
    <n v="5"/>
    <s v="Pride and Prejudice"/>
    <s v="Jane Austen"/>
    <x v="2"/>
    <x v="4"/>
    <n v="2"/>
    <x v="4"/>
  </r>
  <r>
    <n v="6"/>
    <s v="The Martian"/>
    <s v="Andy Weir"/>
    <x v="3"/>
    <x v="5"/>
    <n v="3"/>
    <x v="5"/>
  </r>
  <r>
    <n v="7"/>
    <n v="1984"/>
    <s v="George Orwell"/>
    <x v="1"/>
    <x v="6"/>
    <n v="2"/>
    <x v="6"/>
  </r>
  <r>
    <n v="8"/>
    <s v="Animal Farm"/>
    <s v="George Orwell"/>
    <x v="2"/>
    <x v="7"/>
    <n v="1"/>
    <x v="7"/>
  </r>
  <r>
    <n v="9"/>
    <s v="The Book Thief"/>
    <s v="Markus Zusak"/>
    <x v="4"/>
    <x v="8"/>
    <n v="4"/>
    <x v="8"/>
  </r>
  <r>
    <n v="10"/>
    <s v="The Fault in Our Stars"/>
    <s v="John Green"/>
    <x v="5"/>
    <x v="9"/>
    <n v="2"/>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E950EA9-33DE-44F3-A88B-538CF306359C}" name="PivotTable2" cacheId="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79:D86" firstHeaderRow="0" firstDataRow="1" firstDataCol="1"/>
  <pivotFields count="7">
    <pivotField showAll="0"/>
    <pivotField showAll="0"/>
    <pivotField showAll="0"/>
    <pivotField axis="axisRow" showAll="0">
      <items count="7">
        <item x="2"/>
        <item x="1"/>
        <item x="0"/>
        <item x="4"/>
        <item x="5"/>
        <item x="3"/>
        <item t="default"/>
      </items>
    </pivotField>
    <pivotField showAll="0">
      <items count="11">
        <item x="4"/>
        <item x="7"/>
        <item x="6"/>
        <item x="0"/>
        <item x="3"/>
        <item x="1"/>
        <item x="8"/>
        <item x="2"/>
        <item x="5"/>
        <item x="9"/>
        <item t="default"/>
      </items>
    </pivotField>
    <pivotField dataField="1" showAll="0"/>
    <pivotField dataField="1" showAll="0">
      <items count="11">
        <item x="7"/>
        <item x="9"/>
        <item x="4"/>
        <item x="6"/>
        <item x="5"/>
        <item x="2"/>
        <item x="3"/>
        <item x="8"/>
        <item x="0"/>
        <item x="1"/>
        <item t="default"/>
      </items>
    </pivotField>
  </pivotFields>
  <rowFields count="1">
    <field x="3"/>
  </rowFields>
  <rowItems count="7">
    <i>
      <x/>
    </i>
    <i>
      <x v="1"/>
    </i>
    <i>
      <x v="2"/>
    </i>
    <i>
      <x v="3"/>
    </i>
    <i>
      <x v="4"/>
    </i>
    <i>
      <x v="5"/>
    </i>
    <i t="grand">
      <x/>
    </i>
  </rowItems>
  <colFields count="1">
    <field x="-2"/>
  </colFields>
  <colItems count="2">
    <i>
      <x/>
    </i>
    <i i="1">
      <x v="1"/>
    </i>
  </colItems>
  <dataFields count="2">
    <dataField name="Sum of Copies Available" fld="5" baseField="0" baseItem="0"/>
    <dataField name="Average of Times Borrowed" fld="6"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blication_Year" xr10:uid="{3FC35FE4-BB57-4166-BF61-A1E0BB336E91}" sourceName="Publication Year">
  <pivotTables>
    <pivotTable tabId="1" name="PivotTable2"/>
  </pivotTables>
  <data>
    <tabular pivotCacheId="1933831159">
      <items count="10">
        <i x="4" s="1"/>
        <i x="7" s="1"/>
        <i x="6" s="1"/>
        <i x="0" s="1"/>
        <i x="3" s="1"/>
        <i x="1" s="1"/>
        <i x="8" s="1"/>
        <i x="2" s="1"/>
        <i x="5" s="1"/>
        <i x="9"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s_Borrowed" xr10:uid="{F65285B4-76BE-49CA-BD1D-7266ADB88C72}" sourceName="Times Borrowed">
  <pivotTables>
    <pivotTable tabId="1" name="PivotTable2"/>
  </pivotTables>
  <data>
    <tabular pivotCacheId="1933831159">
      <items count="10">
        <i x="7" s="1"/>
        <i x="9" s="1"/>
        <i x="4" s="1"/>
        <i x="6" s="1"/>
        <i x="5" s="1"/>
        <i x="2" s="1"/>
        <i x="3" s="1"/>
        <i x="8"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ublication Year" xr10:uid="{019D2B62-6926-4FE3-907A-AF2A5A7653F4}" cache="Slicer_Publication_Year" caption="Publication Year" rowHeight="220133"/>
  <slicer name="Times Borrowed" xr10:uid="{E3FCFFB0-5EE1-4749-A6D7-749E763970B9}" cache="Slicer_Times_Borrowed" caption="Times Borrowed" startItem="3" rowHeight="220133"/>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M103"/>
  <sheetViews>
    <sheetView tabSelected="1" workbookViewId="0">
      <selection activeCell="B104" sqref="B104:B112"/>
    </sheetView>
  </sheetViews>
  <sheetFormatPr defaultColWidth="12.6328125" defaultRowHeight="15.75" customHeight="1" x14ac:dyDescent="0.25"/>
  <cols>
    <col min="1" max="1" width="7.90625" customWidth="1"/>
    <col min="2" max="2" width="13.90625" bestFit="1" customWidth="1"/>
    <col min="3" max="3" width="21.81640625" bestFit="1" customWidth="1"/>
    <col min="4" max="4" width="25" bestFit="1" customWidth="1"/>
    <col min="5" max="5" width="15.26953125" customWidth="1"/>
    <col min="6" max="6" width="15.6328125" customWidth="1"/>
    <col min="7" max="7" width="15.36328125" customWidth="1"/>
  </cols>
  <sheetData>
    <row r="1" spans="1:7" x14ac:dyDescent="0.3">
      <c r="A1" s="1" t="s">
        <v>0</v>
      </c>
      <c r="B1" s="1" t="s">
        <v>1</v>
      </c>
      <c r="C1" s="1" t="s">
        <v>2</v>
      </c>
      <c r="D1" s="1" t="s">
        <v>3</v>
      </c>
      <c r="E1" s="1" t="s">
        <v>4</v>
      </c>
      <c r="F1" s="1" t="s">
        <v>5</v>
      </c>
      <c r="G1" s="1" t="s">
        <v>6</v>
      </c>
    </row>
    <row r="2" spans="1:7" ht="15.75" customHeight="1" x14ac:dyDescent="0.25">
      <c r="A2" s="2">
        <v>1</v>
      </c>
      <c r="B2" s="2" t="s">
        <v>7</v>
      </c>
      <c r="C2" s="2" t="s">
        <v>8</v>
      </c>
      <c r="D2" s="2" t="s">
        <v>9</v>
      </c>
      <c r="E2" s="2">
        <v>1954</v>
      </c>
      <c r="F2" s="2">
        <v>5</v>
      </c>
      <c r="G2" s="2">
        <v>120</v>
      </c>
    </row>
    <row r="3" spans="1:7" ht="15.75" customHeight="1" x14ac:dyDescent="0.25">
      <c r="A3" s="2">
        <v>2</v>
      </c>
      <c r="B3" s="2" t="s">
        <v>10</v>
      </c>
      <c r="C3" s="2" t="s">
        <v>11</v>
      </c>
      <c r="D3" s="2" t="s">
        <v>9</v>
      </c>
      <c r="E3" s="2">
        <v>1997</v>
      </c>
      <c r="F3" s="2">
        <v>8</v>
      </c>
      <c r="G3" s="2">
        <v>150</v>
      </c>
    </row>
    <row r="4" spans="1:7" ht="15.75" customHeight="1" x14ac:dyDescent="0.25">
      <c r="A4" s="2">
        <v>3</v>
      </c>
      <c r="B4" s="2" t="s">
        <v>12</v>
      </c>
      <c r="C4" s="2" t="s">
        <v>13</v>
      </c>
      <c r="D4" s="2" t="s">
        <v>14</v>
      </c>
      <c r="E4" s="2">
        <v>2008</v>
      </c>
      <c r="F4" s="2">
        <v>3</v>
      </c>
      <c r="G4" s="2">
        <v>80</v>
      </c>
    </row>
    <row r="5" spans="1:7" ht="15.75" customHeight="1" x14ac:dyDescent="0.25">
      <c r="A5" s="2">
        <v>4</v>
      </c>
      <c r="B5" s="2" t="s">
        <v>15</v>
      </c>
      <c r="C5" s="2" t="s">
        <v>16</v>
      </c>
      <c r="D5" s="2" t="s">
        <v>17</v>
      </c>
      <c r="E5" s="2">
        <v>1960</v>
      </c>
      <c r="F5" s="2">
        <v>4</v>
      </c>
      <c r="G5" s="2">
        <v>95</v>
      </c>
    </row>
    <row r="6" spans="1:7" ht="15.75" customHeight="1" x14ac:dyDescent="0.25">
      <c r="A6" s="2">
        <v>5</v>
      </c>
      <c r="B6" s="2" t="s">
        <v>18</v>
      </c>
      <c r="C6" s="2" t="s">
        <v>19</v>
      </c>
      <c r="D6" s="2" t="s">
        <v>17</v>
      </c>
      <c r="E6" s="2">
        <v>1813</v>
      </c>
      <c r="F6" s="2">
        <v>2</v>
      </c>
      <c r="G6" s="2">
        <v>50</v>
      </c>
    </row>
    <row r="7" spans="1:7" ht="15.75" customHeight="1" x14ac:dyDescent="0.25">
      <c r="A7" s="2">
        <v>6</v>
      </c>
      <c r="B7" s="2" t="s">
        <v>20</v>
      </c>
      <c r="C7" s="2" t="s">
        <v>21</v>
      </c>
      <c r="D7" s="2" t="s">
        <v>22</v>
      </c>
      <c r="E7" s="2">
        <v>2011</v>
      </c>
      <c r="F7" s="2">
        <v>3</v>
      </c>
      <c r="G7" s="2">
        <v>75</v>
      </c>
    </row>
    <row r="8" spans="1:7" ht="15.75" customHeight="1" x14ac:dyDescent="0.25">
      <c r="A8" s="2">
        <v>7</v>
      </c>
      <c r="B8" s="3">
        <v>1984</v>
      </c>
      <c r="C8" s="2" t="s">
        <v>23</v>
      </c>
      <c r="D8" s="2" t="s">
        <v>14</v>
      </c>
      <c r="E8" s="2">
        <v>1949</v>
      </c>
      <c r="F8" s="2">
        <v>2</v>
      </c>
      <c r="G8" s="2">
        <v>60</v>
      </c>
    </row>
    <row r="9" spans="1:7" ht="15.75" customHeight="1" x14ac:dyDescent="0.25">
      <c r="A9" s="2">
        <v>8</v>
      </c>
      <c r="B9" s="2" t="s">
        <v>24</v>
      </c>
      <c r="C9" s="2" t="s">
        <v>23</v>
      </c>
      <c r="D9" s="2" t="s">
        <v>17</v>
      </c>
      <c r="E9" s="2">
        <v>1945</v>
      </c>
      <c r="F9" s="2">
        <v>1</v>
      </c>
      <c r="G9" s="2">
        <v>30</v>
      </c>
    </row>
    <row r="10" spans="1:7" ht="15.75" customHeight="1" x14ac:dyDescent="0.25">
      <c r="A10" s="2">
        <v>9</v>
      </c>
      <c r="B10" s="2" t="s">
        <v>25</v>
      </c>
      <c r="C10" s="2" t="s">
        <v>26</v>
      </c>
      <c r="D10" s="2" t="s">
        <v>27</v>
      </c>
      <c r="E10" s="2">
        <v>2005</v>
      </c>
      <c r="F10" s="2">
        <v>4</v>
      </c>
      <c r="G10" s="2">
        <v>100</v>
      </c>
    </row>
    <row r="11" spans="1:7" ht="15.75" customHeight="1" x14ac:dyDescent="0.25">
      <c r="A11" s="2">
        <v>10</v>
      </c>
      <c r="B11" s="2" t="s">
        <v>28</v>
      </c>
      <c r="C11" s="2" t="s">
        <v>29</v>
      </c>
      <c r="D11" s="2" t="s">
        <v>30</v>
      </c>
      <c r="E11" s="2">
        <v>2012</v>
      </c>
      <c r="F11" s="2">
        <v>2</v>
      </c>
      <c r="G11" s="2">
        <v>45</v>
      </c>
    </row>
    <row r="13" spans="1:7" ht="15.75" customHeight="1" x14ac:dyDescent="0.25">
      <c r="A13" s="4">
        <v>1</v>
      </c>
      <c r="B13" t="s">
        <v>31</v>
      </c>
    </row>
    <row r="14" spans="1:7" ht="15.75" customHeight="1" x14ac:dyDescent="0.3">
      <c r="A14" s="1" t="s">
        <v>0</v>
      </c>
      <c r="B14" s="1" t="s">
        <v>1</v>
      </c>
      <c r="C14" s="1" t="s">
        <v>2</v>
      </c>
      <c r="D14" s="1" t="s">
        <v>3</v>
      </c>
      <c r="E14" s="1" t="s">
        <v>4</v>
      </c>
      <c r="F14" s="1" t="s">
        <v>5</v>
      </c>
      <c r="G14" s="1" t="s">
        <v>6</v>
      </c>
    </row>
    <row r="15" spans="1:7" ht="15.75" customHeight="1" x14ac:dyDescent="0.25">
      <c r="A15" s="4">
        <v>3</v>
      </c>
      <c r="B15" t="str">
        <f>VLOOKUP(A15,$A$2:$G$11,2,FALSE)</f>
        <v>The Hunger Games</v>
      </c>
      <c r="C15" t="str">
        <f>VLOOKUP($A$15,$A$2:$G$11,3,FALSE)</f>
        <v>Suzanne Collins</v>
      </c>
      <c r="D15" t="str">
        <f>VLOOKUP($A$15,$A$2:$G$11,4,FALSE)</f>
        <v>Dystopian</v>
      </c>
      <c r="E15">
        <f>VLOOKUP($A$15,$A$2:$G$11,5,FALSE)</f>
        <v>2008</v>
      </c>
      <c r="F15">
        <f>VLOOKUP($A$15,$A$2:$G$11,6,FALSE)</f>
        <v>3</v>
      </c>
      <c r="G15">
        <f>VLOOKUP($A$15,$A$2:$G$11,7,FALSE)</f>
        <v>80</v>
      </c>
    </row>
    <row r="16" spans="1:7" ht="15.75" customHeight="1" x14ac:dyDescent="0.25">
      <c r="A16" s="4"/>
    </row>
    <row r="17" spans="1:7" ht="15.75" customHeight="1" x14ac:dyDescent="0.25">
      <c r="A17" s="4">
        <v>2</v>
      </c>
      <c r="B17" s="5" t="s">
        <v>32</v>
      </c>
    </row>
    <row r="18" spans="1:7" ht="15.75" customHeight="1" x14ac:dyDescent="0.3">
      <c r="A18" s="1" t="s">
        <v>0</v>
      </c>
      <c r="B18" s="1" t="s">
        <v>1</v>
      </c>
      <c r="C18" s="1" t="s">
        <v>2</v>
      </c>
      <c r="D18" s="1" t="s">
        <v>3</v>
      </c>
      <c r="E18" s="1" t="s">
        <v>4</v>
      </c>
      <c r="F18" s="1" t="s">
        <v>5</v>
      </c>
      <c r="G18" s="1" t="s">
        <v>6</v>
      </c>
    </row>
    <row r="19" spans="1:7" ht="15.75" customHeight="1" x14ac:dyDescent="0.25">
      <c r="A19" s="4">
        <v>3</v>
      </c>
      <c r="B19" t="str" cm="1">
        <f t="array" ref="B19:G19">_xlfn.XLOOKUP(A19,A2:A11,B2:G11)</f>
        <v>The Hunger Games</v>
      </c>
      <c r="C19" t="str">
        <v>Suzanne Collins</v>
      </c>
      <c r="D19" t="str">
        <v>Dystopian</v>
      </c>
      <c r="E19">
        <v>2008</v>
      </c>
      <c r="F19">
        <v>3</v>
      </c>
      <c r="G19">
        <v>80</v>
      </c>
    </row>
    <row r="20" spans="1:7" ht="15.75" customHeight="1" x14ac:dyDescent="0.25">
      <c r="A20" s="4"/>
    </row>
    <row r="21" spans="1:7" ht="15.75" customHeight="1" x14ac:dyDescent="0.25">
      <c r="A21" s="4">
        <v>3</v>
      </c>
      <c r="B21" s="5" t="s">
        <v>33</v>
      </c>
    </row>
    <row r="22" spans="1:7" ht="15.75" customHeight="1" x14ac:dyDescent="0.3">
      <c r="A22" s="1" t="s">
        <v>0</v>
      </c>
      <c r="B22" s="1" t="s">
        <v>1</v>
      </c>
      <c r="C22" s="1" t="s">
        <v>2</v>
      </c>
      <c r="D22" s="1" t="s">
        <v>3</v>
      </c>
      <c r="E22" s="1" t="s">
        <v>4</v>
      </c>
      <c r="F22" s="1" t="s">
        <v>5</v>
      </c>
      <c r="G22" s="1" t="s">
        <v>6</v>
      </c>
    </row>
    <row r="23" spans="1:7" ht="15.75" customHeight="1" x14ac:dyDescent="0.25">
      <c r="B23" s="2" t="s">
        <v>12</v>
      </c>
      <c r="D23" t="str">
        <f>INDEX(D2:D11,MATCH(B23,B2:B11,0))</f>
        <v>Dystopian</v>
      </c>
    </row>
    <row r="25" spans="1:7" ht="15.75" customHeight="1" x14ac:dyDescent="0.25">
      <c r="A25">
        <v>4</v>
      </c>
      <c r="B25" s="5" t="s">
        <v>34</v>
      </c>
    </row>
    <row r="26" spans="1:7" ht="15.75" customHeight="1" x14ac:dyDescent="0.3">
      <c r="A26" s="6" t="s">
        <v>0</v>
      </c>
      <c r="B26" s="6" t="s">
        <v>6</v>
      </c>
      <c r="C26" s="7"/>
    </row>
    <row r="27" spans="1:7" ht="15.75" customHeight="1" x14ac:dyDescent="0.25">
      <c r="A27" s="8">
        <v>1</v>
      </c>
      <c r="B27" s="8">
        <v>120</v>
      </c>
      <c r="C27" s="7" t="str">
        <f>IF(G2&gt;100, "Popular", IF(G2&gt;=50, "Moderately Popular", "Less Popular"))</f>
        <v>Popular</v>
      </c>
    </row>
    <row r="28" spans="1:7" ht="15.75" customHeight="1" x14ac:dyDescent="0.25">
      <c r="A28" s="8">
        <v>2</v>
      </c>
      <c r="B28" s="8">
        <v>150</v>
      </c>
      <c r="C28" s="7" t="str">
        <f>IF(G3&gt;100, "Popular", IF(G3&gt;=50, "Moderately Popular", "Less Popular"))</f>
        <v>Popular</v>
      </c>
    </row>
    <row r="29" spans="1:7" ht="15.75" customHeight="1" x14ac:dyDescent="0.25">
      <c r="A29" s="8">
        <v>3</v>
      </c>
      <c r="B29" s="8">
        <v>80</v>
      </c>
      <c r="C29" s="7" t="str">
        <f>IF(G4&gt;100, "Popular", IF(G4&gt;=50, "Moderately Popular", "Less Popular"))</f>
        <v>Moderately Popular</v>
      </c>
    </row>
    <row r="30" spans="1:7" ht="15.75" customHeight="1" x14ac:dyDescent="0.25">
      <c r="A30" s="8">
        <v>4</v>
      </c>
      <c r="B30" s="8">
        <v>95</v>
      </c>
      <c r="C30" s="7" t="str">
        <f>IF(G5&gt;100, "Popular", IF(G5&gt;=50, "Moderately Popular", "Less Popular"))</f>
        <v>Moderately Popular</v>
      </c>
    </row>
    <row r="31" spans="1:7" ht="15.75" customHeight="1" x14ac:dyDescent="0.25">
      <c r="A31" s="8">
        <v>5</v>
      </c>
      <c r="B31" s="8">
        <v>50</v>
      </c>
      <c r="C31" s="7" t="str">
        <f>IF(G6&gt;100, "Popular", IF(G6&gt;=50, "Moderately Popular", "Less Popular"))</f>
        <v>Moderately Popular</v>
      </c>
    </row>
    <row r="32" spans="1:7" ht="15.75" customHeight="1" x14ac:dyDescent="0.25">
      <c r="A32" s="8">
        <v>6</v>
      </c>
      <c r="B32" s="8">
        <v>75</v>
      </c>
      <c r="C32" s="7" t="str">
        <f>IF(G7&gt;100, "Popular", IF(G7&gt;=50, "Moderately Popular", "Less Popular"))</f>
        <v>Moderately Popular</v>
      </c>
    </row>
    <row r="33" spans="1:3" ht="15.75" customHeight="1" x14ac:dyDescent="0.25">
      <c r="A33" s="8">
        <v>7</v>
      </c>
      <c r="B33" s="8">
        <v>60</v>
      </c>
      <c r="C33" s="7" t="str">
        <f>IF(G8&gt;100, "Popular", IF(G8&gt;=50, "Moderately Popular", "Less Popular"))</f>
        <v>Moderately Popular</v>
      </c>
    </row>
    <row r="34" spans="1:3" ht="15.75" customHeight="1" x14ac:dyDescent="0.25">
      <c r="A34" s="8">
        <v>8</v>
      </c>
      <c r="B34" s="8">
        <v>30</v>
      </c>
      <c r="C34" s="7" t="str">
        <f>IF(G9&gt;100, "Popular", IF(G9&gt;=50, "Moderately Popular", "Less Popular"))</f>
        <v>Less Popular</v>
      </c>
    </row>
    <row r="35" spans="1:3" ht="15.75" customHeight="1" x14ac:dyDescent="0.25">
      <c r="A35" s="8">
        <v>9</v>
      </c>
      <c r="B35" s="8">
        <v>100</v>
      </c>
      <c r="C35" s="7" t="str">
        <f>IF(G10&gt;100, "Popular", IF(G10&gt;=50, "Moderately Popular", "Less Popular"))</f>
        <v>Moderately Popular</v>
      </c>
    </row>
    <row r="36" spans="1:3" ht="15.75" customHeight="1" x14ac:dyDescent="0.25">
      <c r="A36" s="8">
        <v>10</v>
      </c>
      <c r="B36" s="8">
        <v>45</v>
      </c>
      <c r="C36" s="7" t="str">
        <f>IF(G11&gt;100, "Popular", IF(G11&gt;=50, "Moderately Popular", "Less Popular"))</f>
        <v>Less Popular</v>
      </c>
    </row>
    <row r="38" spans="1:3" ht="15.75" customHeight="1" x14ac:dyDescent="0.25">
      <c r="A38" s="9">
        <v>5</v>
      </c>
      <c r="B38" s="5" t="s">
        <v>35</v>
      </c>
    </row>
    <row r="39" spans="1:3" ht="15.75" customHeight="1" x14ac:dyDescent="0.3">
      <c r="A39" s="6" t="s">
        <v>0</v>
      </c>
      <c r="B39" s="7"/>
    </row>
    <row r="40" spans="1:3" ht="15.75" customHeight="1" x14ac:dyDescent="0.25">
      <c r="A40" s="8">
        <v>1</v>
      </c>
      <c r="B40" s="7" t="str">
        <f>IF(AND(E2 &gt; 2000, D2 = "Fantasy"), "Fantasy", "Other")</f>
        <v>Other</v>
      </c>
    </row>
    <row r="41" spans="1:3" ht="15.75" customHeight="1" x14ac:dyDescent="0.25">
      <c r="A41" s="8">
        <v>2</v>
      </c>
      <c r="B41" s="7" t="str">
        <f t="shared" ref="B41:B49" si="0">IF(AND(E3 &gt; 2000, D3 = "Fantasy"), "Fantasy", "Other")</f>
        <v>Other</v>
      </c>
    </row>
    <row r="42" spans="1:3" ht="15.75" customHeight="1" x14ac:dyDescent="0.25">
      <c r="A42" s="8">
        <v>3</v>
      </c>
      <c r="B42" s="7" t="str">
        <f t="shared" si="0"/>
        <v>Other</v>
      </c>
    </row>
    <row r="43" spans="1:3" ht="15.75" customHeight="1" x14ac:dyDescent="0.25">
      <c r="A43" s="8">
        <v>4</v>
      </c>
      <c r="B43" s="7" t="str">
        <f t="shared" si="0"/>
        <v>Other</v>
      </c>
    </row>
    <row r="44" spans="1:3" ht="15.75" customHeight="1" x14ac:dyDescent="0.25">
      <c r="A44" s="8">
        <v>5</v>
      </c>
      <c r="B44" s="7" t="str">
        <f t="shared" si="0"/>
        <v>Other</v>
      </c>
    </row>
    <row r="45" spans="1:3" ht="15.75" customHeight="1" x14ac:dyDescent="0.25">
      <c r="A45" s="8">
        <v>6</v>
      </c>
      <c r="B45" s="7" t="str">
        <f t="shared" si="0"/>
        <v>Other</v>
      </c>
    </row>
    <row r="46" spans="1:3" ht="15.75" customHeight="1" x14ac:dyDescent="0.25">
      <c r="A46" s="8">
        <v>7</v>
      </c>
      <c r="B46" s="7" t="str">
        <f t="shared" si="0"/>
        <v>Other</v>
      </c>
    </row>
    <row r="47" spans="1:3" ht="15.75" customHeight="1" x14ac:dyDescent="0.25">
      <c r="A47" s="8">
        <v>8</v>
      </c>
      <c r="B47" s="7" t="str">
        <f t="shared" si="0"/>
        <v>Other</v>
      </c>
    </row>
    <row r="48" spans="1:3" ht="15.75" customHeight="1" x14ac:dyDescent="0.25">
      <c r="A48" s="8">
        <v>9</v>
      </c>
      <c r="B48" s="7" t="str">
        <f t="shared" si="0"/>
        <v>Other</v>
      </c>
    </row>
    <row r="49" spans="1:13" ht="15.75" customHeight="1" x14ac:dyDescent="0.25">
      <c r="A49" s="8">
        <v>10</v>
      </c>
      <c r="B49" s="7" t="str">
        <f t="shared" si="0"/>
        <v>Other</v>
      </c>
    </row>
    <row r="51" spans="1:13" ht="15.75" customHeight="1" x14ac:dyDescent="0.25">
      <c r="A51" s="9">
        <v>6</v>
      </c>
      <c r="B51" s="5" t="s">
        <v>36</v>
      </c>
    </row>
    <row r="52" spans="1:13" ht="14" x14ac:dyDescent="0.3">
      <c r="A52" s="1" t="s">
        <v>0</v>
      </c>
      <c r="B52" s="10" t="s">
        <v>1</v>
      </c>
      <c r="C52" s="6"/>
      <c r="D52" s="12"/>
      <c r="E52" s="12"/>
      <c r="F52" s="12"/>
      <c r="G52" s="12"/>
      <c r="H52" s="13"/>
      <c r="I52" s="13"/>
      <c r="J52" s="13"/>
      <c r="K52" s="13"/>
      <c r="L52" s="13"/>
      <c r="M52" s="13"/>
    </row>
    <row r="53" spans="1:13" ht="15.75" customHeight="1" x14ac:dyDescent="0.25">
      <c r="A53" s="2">
        <v>1</v>
      </c>
      <c r="B53" s="11" t="s">
        <v>7</v>
      </c>
      <c r="C53" s="8" t="str">
        <f>LEFT(B53,3)</f>
        <v>The</v>
      </c>
      <c r="D53" s="4"/>
      <c r="E53" s="4"/>
      <c r="F53" s="4"/>
      <c r="G53" s="4"/>
      <c r="H53" s="13"/>
      <c r="I53" s="13"/>
      <c r="J53" s="13"/>
      <c r="K53" s="13"/>
      <c r="L53" s="13"/>
      <c r="M53" s="13"/>
    </row>
    <row r="54" spans="1:13" ht="15.75" customHeight="1" x14ac:dyDescent="0.25">
      <c r="A54" s="2">
        <v>1</v>
      </c>
      <c r="B54" s="2" t="s">
        <v>7</v>
      </c>
      <c r="C54" s="14" t="str">
        <f t="shared" ref="C54:C63" si="1">LEFT(B54,3)</f>
        <v>The</v>
      </c>
    </row>
    <row r="55" spans="1:13" ht="15.75" customHeight="1" x14ac:dyDescent="0.25">
      <c r="A55" s="2">
        <v>2</v>
      </c>
      <c r="B55" s="2" t="s">
        <v>10</v>
      </c>
      <c r="C55" s="2" t="str">
        <f>LEFT(B55,5)</f>
        <v>Harry</v>
      </c>
    </row>
    <row r="56" spans="1:13" ht="15.75" customHeight="1" x14ac:dyDescent="0.25">
      <c r="A56" s="2">
        <v>3</v>
      </c>
      <c r="B56" s="2" t="s">
        <v>12</v>
      </c>
      <c r="C56" s="2" t="str">
        <f t="shared" si="1"/>
        <v>The</v>
      </c>
    </row>
    <row r="57" spans="1:13" ht="15.75" customHeight="1" x14ac:dyDescent="0.25">
      <c r="A57" s="2">
        <v>4</v>
      </c>
      <c r="B57" s="2" t="s">
        <v>15</v>
      </c>
      <c r="C57" s="2" t="str">
        <f>LEFT(B57,2)</f>
        <v>To</v>
      </c>
    </row>
    <row r="58" spans="1:13" ht="15.75" customHeight="1" x14ac:dyDescent="0.25">
      <c r="A58" s="2">
        <v>5</v>
      </c>
      <c r="B58" s="2" t="s">
        <v>18</v>
      </c>
      <c r="C58" s="2" t="str">
        <f>LEFT(B58,5)</f>
        <v>Pride</v>
      </c>
    </row>
    <row r="59" spans="1:13" ht="15.75" customHeight="1" x14ac:dyDescent="0.25">
      <c r="A59" s="2">
        <v>6</v>
      </c>
      <c r="B59" s="2" t="s">
        <v>20</v>
      </c>
      <c r="C59" s="2" t="str">
        <f t="shared" si="1"/>
        <v>The</v>
      </c>
    </row>
    <row r="60" spans="1:13" ht="15.75" customHeight="1" x14ac:dyDescent="0.25">
      <c r="A60" s="2">
        <v>7</v>
      </c>
      <c r="B60" s="3">
        <v>1984</v>
      </c>
      <c r="C60" s="2" t="str">
        <f t="shared" si="1"/>
        <v>198</v>
      </c>
    </row>
    <row r="61" spans="1:13" ht="15.75" customHeight="1" x14ac:dyDescent="0.25">
      <c r="A61" s="2">
        <v>8</v>
      </c>
      <c r="B61" s="2" t="s">
        <v>24</v>
      </c>
      <c r="C61" s="2" t="str">
        <f>LEFT(B61,6)</f>
        <v>Animal</v>
      </c>
    </row>
    <row r="62" spans="1:13" ht="15.75" customHeight="1" x14ac:dyDescent="0.25">
      <c r="A62" s="2">
        <v>9</v>
      </c>
      <c r="B62" s="2" t="s">
        <v>25</v>
      </c>
      <c r="C62" s="2" t="str">
        <f t="shared" si="1"/>
        <v>The</v>
      </c>
    </row>
    <row r="63" spans="1:13" ht="15.75" customHeight="1" x14ac:dyDescent="0.25">
      <c r="A63" s="2">
        <v>10</v>
      </c>
      <c r="B63" s="2" t="s">
        <v>28</v>
      </c>
      <c r="C63" s="2" t="str">
        <f t="shared" si="1"/>
        <v>The</v>
      </c>
    </row>
    <row r="65" spans="1:4" ht="15.75" customHeight="1" x14ac:dyDescent="0.25">
      <c r="A65" s="9">
        <v>7</v>
      </c>
      <c r="B65" s="5" t="s">
        <v>37</v>
      </c>
    </row>
    <row r="66" spans="1:4" ht="15.75" customHeight="1" x14ac:dyDescent="0.3">
      <c r="B66" s="15" t="s">
        <v>56</v>
      </c>
      <c r="C66" s="15" t="s">
        <v>57</v>
      </c>
      <c r="D66" s="15" t="s">
        <v>58</v>
      </c>
    </row>
    <row r="67" spans="1:4" ht="15.75" customHeight="1" x14ac:dyDescent="0.25">
      <c r="B67" s="16" t="s">
        <v>47</v>
      </c>
      <c r="C67" s="17" t="s">
        <v>38</v>
      </c>
      <c r="D67" s="7" t="str">
        <f>_xlfn.CONCAT(B67," ",C67)</f>
        <v>J.R.R. Tolkien</v>
      </c>
    </row>
    <row r="68" spans="1:4" ht="15.75" customHeight="1" x14ac:dyDescent="0.25">
      <c r="B68" s="16" t="s">
        <v>48</v>
      </c>
      <c r="C68" s="17" t="s">
        <v>39</v>
      </c>
      <c r="D68" s="7" t="str">
        <f t="shared" ref="D68:D76" si="2">_xlfn.CONCAT(B68," ",C68)</f>
        <v>J.K. Rowling</v>
      </c>
    </row>
    <row r="69" spans="1:4" ht="15.75" customHeight="1" x14ac:dyDescent="0.25">
      <c r="B69" s="16" t="s">
        <v>49</v>
      </c>
      <c r="C69" s="17" t="s">
        <v>40</v>
      </c>
      <c r="D69" s="7" t="str">
        <f t="shared" si="2"/>
        <v>Suzanne Collins</v>
      </c>
    </row>
    <row r="70" spans="1:4" ht="15.75" customHeight="1" x14ac:dyDescent="0.25">
      <c r="B70" s="16" t="s">
        <v>50</v>
      </c>
      <c r="C70" s="17" t="s">
        <v>41</v>
      </c>
      <c r="D70" s="7" t="str">
        <f t="shared" si="2"/>
        <v>Harper Lee</v>
      </c>
    </row>
    <row r="71" spans="1:4" ht="15.75" customHeight="1" x14ac:dyDescent="0.25">
      <c r="B71" s="16" t="s">
        <v>51</v>
      </c>
      <c r="C71" s="17" t="s">
        <v>42</v>
      </c>
      <c r="D71" s="7" t="str">
        <f t="shared" si="2"/>
        <v>Jane Austen</v>
      </c>
    </row>
    <row r="72" spans="1:4" ht="15.75" customHeight="1" x14ac:dyDescent="0.25">
      <c r="B72" s="16" t="s">
        <v>52</v>
      </c>
      <c r="C72" s="17" t="s">
        <v>43</v>
      </c>
      <c r="D72" s="7" t="str">
        <f t="shared" si="2"/>
        <v>Andy Weir</v>
      </c>
    </row>
    <row r="73" spans="1:4" ht="15.75" customHeight="1" x14ac:dyDescent="0.25">
      <c r="B73" s="16" t="s">
        <v>53</v>
      </c>
      <c r="C73" s="17" t="s">
        <v>44</v>
      </c>
      <c r="D73" s="7" t="str">
        <f t="shared" si="2"/>
        <v>George Orwell</v>
      </c>
    </row>
    <row r="74" spans="1:4" ht="15.75" customHeight="1" x14ac:dyDescent="0.25">
      <c r="B74" s="16" t="s">
        <v>53</v>
      </c>
      <c r="C74" s="17" t="s">
        <v>44</v>
      </c>
      <c r="D74" s="7" t="str">
        <f t="shared" si="2"/>
        <v>George Orwell</v>
      </c>
    </row>
    <row r="75" spans="1:4" ht="15.75" customHeight="1" x14ac:dyDescent="0.25">
      <c r="B75" s="16" t="s">
        <v>54</v>
      </c>
      <c r="C75" s="17" t="s">
        <v>45</v>
      </c>
      <c r="D75" s="7" t="str">
        <f t="shared" si="2"/>
        <v>Markus Zusak</v>
      </c>
    </row>
    <row r="76" spans="1:4" ht="15.75" customHeight="1" x14ac:dyDescent="0.25">
      <c r="B76" s="16" t="s">
        <v>55</v>
      </c>
      <c r="C76" s="17" t="s">
        <v>46</v>
      </c>
      <c r="D76" s="7" t="str">
        <f t="shared" si="2"/>
        <v>John Green</v>
      </c>
    </row>
    <row r="78" spans="1:4" ht="15.75" customHeight="1" x14ac:dyDescent="0.25">
      <c r="A78">
        <v>8</v>
      </c>
      <c r="B78" s="5" t="s">
        <v>59</v>
      </c>
    </row>
    <row r="79" spans="1:4" ht="15.75" customHeight="1" x14ac:dyDescent="0.25">
      <c r="B79" s="18" t="s">
        <v>60</v>
      </c>
      <c r="C79" t="s">
        <v>62</v>
      </c>
      <c r="D79" t="s">
        <v>63</v>
      </c>
    </row>
    <row r="80" spans="1:4" ht="15.75" customHeight="1" x14ac:dyDescent="0.25">
      <c r="B80" s="19" t="s">
        <v>17</v>
      </c>
      <c r="C80" s="20">
        <v>7</v>
      </c>
      <c r="D80" s="20">
        <v>58.333333333333336</v>
      </c>
    </row>
    <row r="81" spans="1:4" ht="15.75" customHeight="1" x14ac:dyDescent="0.25">
      <c r="B81" s="19" t="s">
        <v>14</v>
      </c>
      <c r="C81" s="20">
        <v>5</v>
      </c>
      <c r="D81" s="20">
        <v>70</v>
      </c>
    </row>
    <row r="82" spans="1:4" ht="15.75" customHeight="1" x14ac:dyDescent="0.25">
      <c r="B82" s="19" t="s">
        <v>9</v>
      </c>
      <c r="C82" s="20">
        <v>13</v>
      </c>
      <c r="D82" s="20">
        <v>135</v>
      </c>
    </row>
    <row r="83" spans="1:4" ht="15.75" customHeight="1" x14ac:dyDescent="0.25">
      <c r="B83" s="19" t="s">
        <v>27</v>
      </c>
      <c r="C83" s="20">
        <v>4</v>
      </c>
      <c r="D83" s="20">
        <v>100</v>
      </c>
    </row>
    <row r="84" spans="1:4" ht="15.75" customHeight="1" x14ac:dyDescent="0.25">
      <c r="B84" s="19" t="s">
        <v>30</v>
      </c>
      <c r="C84" s="20">
        <v>2</v>
      </c>
      <c r="D84" s="20">
        <v>45</v>
      </c>
    </row>
    <row r="85" spans="1:4" ht="15.75" customHeight="1" x14ac:dyDescent="0.25">
      <c r="B85" s="19" t="s">
        <v>22</v>
      </c>
      <c r="C85" s="20">
        <v>3</v>
      </c>
      <c r="D85" s="20">
        <v>75</v>
      </c>
    </row>
    <row r="86" spans="1:4" ht="15.75" customHeight="1" x14ac:dyDescent="0.25">
      <c r="B86" s="19" t="s">
        <v>61</v>
      </c>
      <c r="C86" s="20">
        <v>34</v>
      </c>
      <c r="D86" s="20">
        <v>80.5</v>
      </c>
    </row>
    <row r="88" spans="1:4" ht="15.75" customHeight="1" x14ac:dyDescent="0.25">
      <c r="A88">
        <v>9</v>
      </c>
      <c r="B88" s="5" t="s">
        <v>64</v>
      </c>
    </row>
    <row r="102" spans="1:2" ht="15.75" customHeight="1" x14ac:dyDescent="0.25">
      <c r="A102">
        <v>10</v>
      </c>
      <c r="B102" s="5" t="s">
        <v>65</v>
      </c>
    </row>
    <row r="103" spans="1:2" ht="15.75" customHeight="1" x14ac:dyDescent="0.25">
      <c r="B103">
        <f>COUNTIFS($C$80:$C$85,"Fantasy",$D$80:$D$85,"Popular")</f>
        <v>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Ketan Mistry</cp:lastModifiedBy>
  <dcterms:modified xsi:type="dcterms:W3CDTF">2025-08-05T17:04:28Z</dcterms:modified>
</cp:coreProperties>
</file>